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Методы анализа данных\Лаб 1\"/>
    </mc:Choice>
  </mc:AlternateContent>
  <xr:revisionPtr revIDLastSave="0" documentId="13_ncr:1_{E8F44CB9-E69D-4F78-9C48-2841A16CFB3A}" xr6:coauthVersionLast="47" xr6:coauthVersionMax="47" xr10:uidLastSave="{00000000-0000-0000-0000-000000000000}"/>
  <bookViews>
    <workbookView xWindow="-120" yWindow="-120" windowWidth="29040" windowHeight="15840" firstSheet="6" activeTab="10" xr2:uid="{00000000-000D-0000-FFFF-FFFF00000000}"/>
  </bookViews>
  <sheets>
    <sheet name="Равномерное" sheetId="1" r:id="rId1"/>
    <sheet name="Нормальное" sheetId="2" r:id="rId2"/>
    <sheet name="Бернулли" sheetId="3" r:id="rId3"/>
    <sheet name="Биноминальное" sheetId="4" r:id="rId4"/>
    <sheet name="Пуассона" sheetId="5" r:id="rId5"/>
    <sheet name="Модельное" sheetId="6" r:id="rId6"/>
    <sheet name="Дискретное" sheetId="7" r:id="rId7"/>
    <sheet name="С итоговой статистикой" sheetId="10" r:id="rId8"/>
    <sheet name="Без итоговой статистики" sheetId="11" r:id="rId9"/>
    <sheet name="Описательная статистика" sheetId="9" r:id="rId10"/>
    <sheet name="3.7 Рассчеты" sheetId="13" r:id="rId11"/>
    <sheet name="3.5 Рассчеты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2" l="1"/>
  <c r="C6" i="12"/>
  <c r="C4" i="12"/>
  <c r="C2" i="12"/>
</calcChain>
</file>

<file path=xl/sharedStrings.xml><?xml version="1.0" encoding="utf-8"?>
<sst xmlns="http://schemas.openxmlformats.org/spreadsheetml/2006/main" count="234" uniqueCount="38">
  <si>
    <t>Значения</t>
  </si>
  <si>
    <t>Вероятности</t>
  </si>
  <si>
    <t>Результат</t>
  </si>
  <si>
    <t>Равномерное</t>
  </si>
  <si>
    <t>Нормальное</t>
  </si>
  <si>
    <t>Бернулли</t>
  </si>
  <si>
    <t>Биномиальное</t>
  </si>
  <si>
    <t>Пуассона</t>
  </si>
  <si>
    <t>Модельное</t>
  </si>
  <si>
    <t>Дискретное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</si>
  <si>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</si>
  <si>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</si>
  <si>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</si>
  <si>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</si>
  <si>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</si>
  <si>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</si>
  <si>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</si>
  <si>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</si>
  <si>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</si>
  <si>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</si>
  <si>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</si>
  <si>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</si>
  <si>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</si>
  <si>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Наибольший(1)</t>
  </si>
  <si>
    <t>Наименьший(1)</t>
  </si>
  <si>
    <t>Уровень надежности(95,0%)</t>
  </si>
  <si>
    <t>Среднее значение</t>
  </si>
  <si>
    <t>Значение среднеквадратичного отклонения</t>
  </si>
  <si>
    <t>Дисперсия</t>
  </si>
  <si>
    <t>Значение стандартной ошибки</t>
  </si>
  <si>
    <t>Карман</t>
  </si>
  <si>
    <t>Еще</t>
  </si>
  <si>
    <t>Частота</t>
  </si>
  <si>
    <t>Интегральный %</t>
  </si>
  <si>
    <t>Точка</t>
  </si>
  <si>
    <t>Столбец1</t>
  </si>
  <si>
    <t>Ранг</t>
  </si>
  <si>
    <t>Процент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</si>
</sst>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10" fontId="0" fillId="0" borderId="0" xfId="0" applyNumberFormat="1"/>
    <xf numFmtId="0" fontId="0" fillId="0" borderId="0" xfId="0" applyNumberFormat="1"/>
    <xf numFmtId="10" fontId="0" fillId="0" borderId="0" xfId="0" applyNumberFormat="1" applyFill="1" applyBorder="1" applyAlignment="1"/>
    <xf numFmtId="0" fontId="0" fillId="0" borderId="0" xfId="0" applyNumberFormat="1" applyFill="1" applyBorder="1" applyAlignment="1"/>
    <xf numFmtId="10" fontId="0" fillId="0" borderId="1" xfId="0" applyNumberFormat="1" applyFill="1" applyBorder="1" applyAlignment="1"/>
    <xf numFmtId="0" fontId="0" fillId="0" borderId="1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Равномерное!$H$2:$H$7</c:f>
              <c:strCache>
                <c:ptCount val="6"/>
                <c:pt idx="0">
                  <c:v>Еще</c:v>
                </c:pt>
                <c:pt idx="1">
                  <c:v>1,623029267</c:v>
                </c:pt>
                <c:pt idx="2">
                  <c:v>4,243580432</c:v>
                </c:pt>
                <c:pt idx="3">
                  <c:v>5,553856014</c:v>
                </c:pt>
                <c:pt idx="4">
                  <c:v>2,933304849</c:v>
                </c:pt>
                <c:pt idx="5">
                  <c:v>0,312753685</c:v>
                </c:pt>
              </c:strCache>
            </c:strRef>
          </c:cat>
          <c:val>
            <c:numRef>
              <c:f>Равномерное!$I$2:$I$7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CA-4AE2-834B-FBF4A95F7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810576"/>
        <c:axId val="1169811536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Равномерное!$H$2:$H$7</c:f>
              <c:strCache>
                <c:ptCount val="6"/>
                <c:pt idx="0">
                  <c:v>Еще</c:v>
                </c:pt>
                <c:pt idx="1">
                  <c:v>1,623029267</c:v>
                </c:pt>
                <c:pt idx="2">
                  <c:v>4,243580432</c:v>
                </c:pt>
                <c:pt idx="3">
                  <c:v>5,553856014</c:v>
                </c:pt>
                <c:pt idx="4">
                  <c:v>2,933304849</c:v>
                </c:pt>
                <c:pt idx="5">
                  <c:v>0,312753685</c:v>
                </c:pt>
              </c:strCache>
            </c:strRef>
          </c:cat>
          <c:val>
            <c:numRef>
              <c:f>Равномерное!$J$2:$J$7</c:f>
              <c:numCache>
                <c:formatCode>0.00%</c:formatCode>
                <c:ptCount val="6"/>
                <c:pt idx="0">
                  <c:v>0.26666666666666666</c:v>
                </c:pt>
                <c:pt idx="1">
                  <c:v>0.5</c:v>
                </c:pt>
                <c:pt idx="2">
                  <c:v>0.66666666666666663</c:v>
                </c:pt>
                <c:pt idx="3">
                  <c:v>0.83333333333333337</c:v>
                </c:pt>
                <c:pt idx="4">
                  <c:v>0.96666666666666667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A-4AE2-834B-FBF4A95F7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0842736"/>
        <c:axId val="1050842256"/>
      </c:lineChart>
      <c:catAx>
        <c:axId val="1169810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811536"/>
        <c:crosses val="autoZero"/>
        <c:auto val="1"/>
        <c:lblAlgn val="ctr"/>
        <c:lblOffset val="100"/>
        <c:noMultiLvlLbl val="0"/>
      </c:catAx>
      <c:valAx>
        <c:axId val="116981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9810576"/>
        <c:crosses val="autoZero"/>
        <c:crossBetween val="between"/>
      </c:valAx>
      <c:valAx>
        <c:axId val="10508422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50842736"/>
        <c:crosses val="max"/>
        <c:crossBetween val="between"/>
      </c:valAx>
      <c:catAx>
        <c:axId val="1050842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0842256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Нормальное!$H$2:$H$7</c:f>
              <c:strCache>
                <c:ptCount val="6"/>
                <c:pt idx="0">
                  <c:v>1,713508027</c:v>
                </c:pt>
                <c:pt idx="1">
                  <c:v>5,85732414</c:v>
                </c:pt>
                <c:pt idx="2">
                  <c:v>-2,430308086</c:v>
                </c:pt>
                <c:pt idx="3">
                  <c:v>Еще</c:v>
                </c:pt>
                <c:pt idx="4">
                  <c:v>-6,5741242</c:v>
                </c:pt>
                <c:pt idx="5">
                  <c:v>-10,71794031</c:v>
                </c:pt>
              </c:strCache>
            </c:strRef>
          </c:cat>
          <c:val>
            <c:numRef>
              <c:f>Нормальное!$I$2:$I$7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B-4D43-8BD2-74ED2CB61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840336"/>
        <c:axId val="1050841296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Нормальное!$H$2:$H$7</c:f>
              <c:strCache>
                <c:ptCount val="6"/>
                <c:pt idx="0">
                  <c:v>1,713508027</c:v>
                </c:pt>
                <c:pt idx="1">
                  <c:v>5,85732414</c:v>
                </c:pt>
                <c:pt idx="2">
                  <c:v>-2,430308086</c:v>
                </c:pt>
                <c:pt idx="3">
                  <c:v>Еще</c:v>
                </c:pt>
                <c:pt idx="4">
                  <c:v>-6,5741242</c:v>
                </c:pt>
                <c:pt idx="5">
                  <c:v>-10,71794031</c:v>
                </c:pt>
              </c:strCache>
            </c:strRef>
          </c:cat>
          <c:val>
            <c:numRef>
              <c:f>Нормальное!$J$2:$J$7</c:f>
              <c:numCache>
                <c:formatCode>0.00%</c:formatCode>
                <c:ptCount val="6"/>
                <c:pt idx="0">
                  <c:v>0.33333333333333331</c:v>
                </c:pt>
                <c:pt idx="1">
                  <c:v>0.56666666666666665</c:v>
                </c:pt>
                <c:pt idx="2">
                  <c:v>0.76666666666666672</c:v>
                </c:pt>
                <c:pt idx="3">
                  <c:v>0.9</c:v>
                </c:pt>
                <c:pt idx="4">
                  <c:v>0.96666666666666667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B-4D43-8BD2-74ED2CB61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984224"/>
        <c:axId val="1250983744"/>
      </c:lineChart>
      <c:catAx>
        <c:axId val="105084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0841296"/>
        <c:crosses val="autoZero"/>
        <c:auto val="1"/>
        <c:lblAlgn val="ctr"/>
        <c:lblOffset val="100"/>
        <c:noMultiLvlLbl val="0"/>
      </c:catAx>
      <c:valAx>
        <c:axId val="1050841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0840336"/>
        <c:crosses val="autoZero"/>
        <c:crossBetween val="between"/>
      </c:valAx>
      <c:valAx>
        <c:axId val="12509837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50984224"/>
        <c:crosses val="max"/>
        <c:crossBetween val="between"/>
      </c:valAx>
      <c:catAx>
        <c:axId val="1250984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098374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Бернулли!$H$2:$H$7</c:f>
              <c:strCache>
                <c:ptCount val="6"/>
                <c:pt idx="0">
                  <c:v>Еще</c:v>
                </c:pt>
                <c:pt idx="1">
                  <c:v>0</c:v>
                </c:pt>
                <c:pt idx="2">
                  <c:v>0,2</c:v>
                </c:pt>
                <c:pt idx="3">
                  <c:v>0,4</c:v>
                </c:pt>
                <c:pt idx="4">
                  <c:v>0,6</c:v>
                </c:pt>
                <c:pt idx="5">
                  <c:v>0,8</c:v>
                </c:pt>
              </c:strCache>
            </c:strRef>
          </c:cat>
          <c:val>
            <c:numRef>
              <c:f>Бернулли!$I$2:$I$7</c:f>
              <c:numCache>
                <c:formatCode>General</c:formatCode>
                <c:ptCount val="6"/>
                <c:pt idx="0">
                  <c:v>18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6-44AE-B26C-3E9C60C01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582400"/>
        <c:axId val="863582880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Бернулли!$H$2:$H$7</c:f>
              <c:strCache>
                <c:ptCount val="6"/>
                <c:pt idx="0">
                  <c:v>Еще</c:v>
                </c:pt>
                <c:pt idx="1">
                  <c:v>0</c:v>
                </c:pt>
                <c:pt idx="2">
                  <c:v>0,2</c:v>
                </c:pt>
                <c:pt idx="3">
                  <c:v>0,4</c:v>
                </c:pt>
                <c:pt idx="4">
                  <c:v>0,6</c:v>
                </c:pt>
                <c:pt idx="5">
                  <c:v>0,8</c:v>
                </c:pt>
              </c:strCache>
            </c:strRef>
          </c:cat>
          <c:val>
            <c:numRef>
              <c:f>Бернулли!$J$2:$J$7</c:f>
              <c:numCache>
                <c:formatCode>0.00%</c:formatCode>
                <c:ptCount val="6"/>
                <c:pt idx="0">
                  <c:v>0.6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06-44AE-B26C-3E9C60C01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010064"/>
        <c:axId val="1253011504"/>
      </c:lineChart>
      <c:catAx>
        <c:axId val="86358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3582880"/>
        <c:crosses val="autoZero"/>
        <c:auto val="1"/>
        <c:lblAlgn val="ctr"/>
        <c:lblOffset val="100"/>
        <c:noMultiLvlLbl val="0"/>
      </c:catAx>
      <c:valAx>
        <c:axId val="863582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3582400"/>
        <c:crosses val="autoZero"/>
        <c:crossBetween val="between"/>
      </c:valAx>
      <c:valAx>
        <c:axId val="12530115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53010064"/>
        <c:crosses val="max"/>
        <c:crossBetween val="between"/>
      </c:valAx>
      <c:catAx>
        <c:axId val="1253010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301150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Биноминальное!$H$2:$H$7</c:f>
              <c:strCache>
                <c:ptCount val="6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Еще</c:v>
                </c:pt>
              </c:strCache>
            </c:strRef>
          </c:cat>
          <c:val>
            <c:numRef>
              <c:f>Биноминальное!$I$2:$I$7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8-4766-B955-CB928289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009584"/>
        <c:axId val="1253011984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Биноминальное!$H$2:$H$7</c:f>
              <c:strCache>
                <c:ptCount val="6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Еще</c:v>
                </c:pt>
              </c:strCache>
            </c:strRef>
          </c:cat>
          <c:val>
            <c:numRef>
              <c:f>Биноминальное!$J$2:$J$7</c:f>
              <c:numCache>
                <c:formatCode>0.00%</c:formatCode>
                <c:ptCount val="6"/>
                <c:pt idx="0">
                  <c:v>0.3</c:v>
                </c:pt>
                <c:pt idx="1">
                  <c:v>0.6</c:v>
                </c:pt>
                <c:pt idx="2">
                  <c:v>0.83333333333333337</c:v>
                </c:pt>
                <c:pt idx="3">
                  <c:v>0.93333333333333335</c:v>
                </c:pt>
                <c:pt idx="4">
                  <c:v>0.96666666666666667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8-4766-B955-CB928289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276688"/>
        <c:axId val="1253276208"/>
      </c:lineChart>
      <c:catAx>
        <c:axId val="125300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3011984"/>
        <c:crosses val="autoZero"/>
        <c:auto val="1"/>
        <c:lblAlgn val="ctr"/>
        <c:lblOffset val="100"/>
        <c:noMultiLvlLbl val="0"/>
      </c:catAx>
      <c:valAx>
        <c:axId val="1253011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3009584"/>
        <c:crosses val="autoZero"/>
        <c:crossBetween val="between"/>
      </c:valAx>
      <c:valAx>
        <c:axId val="125327620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53276688"/>
        <c:crosses val="max"/>
        <c:crossBetween val="between"/>
      </c:valAx>
      <c:catAx>
        <c:axId val="125327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3276208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Пуассона!$H$2:$H$7</c:f>
              <c:strCache>
                <c:ptCount val="6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Еще</c:v>
                </c:pt>
                <c:pt idx="5">
                  <c:v>2</c:v>
                </c:pt>
              </c:strCache>
            </c:strRef>
          </c:cat>
          <c:val>
            <c:numRef>
              <c:f>Пуассона!$I$2:$I$7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4-402D-A606-333DBC74A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1334096"/>
        <c:axId val="1131336976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Пуассона!$H$2:$H$7</c:f>
              <c:strCache>
                <c:ptCount val="6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Еще</c:v>
                </c:pt>
                <c:pt idx="5">
                  <c:v>2</c:v>
                </c:pt>
              </c:strCache>
            </c:strRef>
          </c:cat>
          <c:val>
            <c:numRef>
              <c:f>Пуассона!$J$2:$J$7</c:f>
              <c:numCache>
                <c:formatCode>0.00%</c:formatCode>
                <c:ptCount val="6"/>
                <c:pt idx="0">
                  <c:v>0.33333333333333331</c:v>
                </c:pt>
                <c:pt idx="1">
                  <c:v>0.53333333333333333</c:v>
                </c:pt>
                <c:pt idx="2">
                  <c:v>0.7</c:v>
                </c:pt>
                <c:pt idx="3">
                  <c:v>0.83333333333333337</c:v>
                </c:pt>
                <c:pt idx="4">
                  <c:v>0.96666666666666667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4-402D-A606-333DBC74A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629248"/>
        <c:axId val="1254627328"/>
      </c:lineChart>
      <c:catAx>
        <c:axId val="11313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1336976"/>
        <c:crosses val="autoZero"/>
        <c:auto val="1"/>
        <c:lblAlgn val="ctr"/>
        <c:lblOffset val="100"/>
        <c:noMultiLvlLbl val="0"/>
      </c:catAx>
      <c:valAx>
        <c:axId val="1131336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1334096"/>
        <c:crosses val="autoZero"/>
        <c:crossBetween val="between"/>
      </c:valAx>
      <c:valAx>
        <c:axId val="12546273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54629248"/>
        <c:crosses val="max"/>
        <c:crossBetween val="between"/>
      </c:valAx>
      <c:catAx>
        <c:axId val="1254629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4627328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Модельное!$H$2:$H$8</c:f>
              <c:strCache>
                <c:ptCount val="7"/>
                <c:pt idx="0">
                  <c:v>4</c:v>
                </c:pt>
                <c:pt idx="1">
                  <c:v>6</c:v>
                </c:pt>
                <c:pt idx="2">
                  <c:v>Еще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strCache>
            </c:strRef>
          </c:cat>
          <c:val>
            <c:numRef>
              <c:f>Модельное!$I$2:$I$8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2-4436-8385-61DBA7FC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628288"/>
        <c:axId val="1254625888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Модельное!$H$2:$H$8</c:f>
              <c:strCache>
                <c:ptCount val="7"/>
                <c:pt idx="0">
                  <c:v>4</c:v>
                </c:pt>
                <c:pt idx="1">
                  <c:v>6</c:v>
                </c:pt>
                <c:pt idx="2">
                  <c:v>Еще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strCache>
            </c:strRef>
          </c:cat>
          <c:val>
            <c:numRef>
              <c:f>Модельное!$J$2:$J$8</c:f>
              <c:numCache>
                <c:formatCode>0.00%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2-4436-8385-61DBA7FC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560384"/>
        <c:axId val="1251563744"/>
      </c:lineChart>
      <c:catAx>
        <c:axId val="125462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625888"/>
        <c:crosses val="autoZero"/>
        <c:auto val="1"/>
        <c:lblAlgn val="ctr"/>
        <c:lblOffset val="100"/>
        <c:noMultiLvlLbl val="0"/>
      </c:catAx>
      <c:valAx>
        <c:axId val="1254625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628288"/>
        <c:crosses val="autoZero"/>
        <c:crossBetween val="between"/>
      </c:valAx>
      <c:valAx>
        <c:axId val="12515637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51560384"/>
        <c:crosses val="max"/>
        <c:crossBetween val="between"/>
      </c:valAx>
      <c:catAx>
        <c:axId val="125156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156374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Дискретное!$J$2:$J$7</c:f>
              <c:strCache>
                <c:ptCount val="6"/>
                <c:pt idx="0">
                  <c:v>3,4</c:v>
                </c:pt>
                <c:pt idx="1">
                  <c:v>Еще</c:v>
                </c:pt>
                <c:pt idx="2">
                  <c:v>5,8</c:v>
                </c:pt>
                <c:pt idx="3">
                  <c:v>2,2</c:v>
                </c:pt>
                <c:pt idx="4">
                  <c:v>1</c:v>
                </c:pt>
                <c:pt idx="5">
                  <c:v>4,6</c:v>
                </c:pt>
              </c:strCache>
            </c:strRef>
          </c:cat>
          <c:val>
            <c:numRef>
              <c:f>Дискретное!$K$2:$K$7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4-4599-B63F-F0C615A78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273808"/>
        <c:axId val="1253274288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Дискретное!$J$2:$J$7</c:f>
              <c:strCache>
                <c:ptCount val="6"/>
                <c:pt idx="0">
                  <c:v>3,4</c:v>
                </c:pt>
                <c:pt idx="1">
                  <c:v>Еще</c:v>
                </c:pt>
                <c:pt idx="2">
                  <c:v>5,8</c:v>
                </c:pt>
                <c:pt idx="3">
                  <c:v>2,2</c:v>
                </c:pt>
                <c:pt idx="4">
                  <c:v>1</c:v>
                </c:pt>
                <c:pt idx="5">
                  <c:v>4,6</c:v>
                </c:pt>
              </c:strCache>
            </c:strRef>
          </c:cat>
          <c:val>
            <c:numRef>
              <c:f>Дискретное!$L$2:$L$7</c:f>
              <c:numCache>
                <c:formatCode>0.00%</c:formatCode>
                <c:ptCount val="6"/>
                <c:pt idx="0">
                  <c:v>0.29032258064516131</c:v>
                </c:pt>
                <c:pt idx="1">
                  <c:v>0.58064516129032262</c:v>
                </c:pt>
                <c:pt idx="2">
                  <c:v>0.74193548387096775</c:v>
                </c:pt>
                <c:pt idx="3">
                  <c:v>0.87096774193548387</c:v>
                </c:pt>
                <c:pt idx="4">
                  <c:v>0.93548387096774188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A4-4599-B63F-F0C615A78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413680"/>
        <c:axId val="1051412240"/>
      </c:lineChart>
      <c:catAx>
        <c:axId val="125327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3274288"/>
        <c:crosses val="autoZero"/>
        <c:auto val="1"/>
        <c:lblAlgn val="ctr"/>
        <c:lblOffset val="100"/>
        <c:noMultiLvlLbl val="0"/>
      </c:catAx>
      <c:valAx>
        <c:axId val="1253274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3273808"/>
        <c:crosses val="autoZero"/>
        <c:crossBetween val="between"/>
      </c:valAx>
      <c:valAx>
        <c:axId val="105141224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51413680"/>
        <c:crosses val="max"/>
        <c:crossBetween val="between"/>
      </c:valAx>
      <c:catAx>
        <c:axId val="1051413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412240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0</xdr:row>
      <xdr:rowOff>180975</xdr:rowOff>
    </xdr:from>
    <xdr:to>
      <xdr:col>17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51B283-62C4-31EC-39F3-3E7D5D39D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0</xdr:row>
      <xdr:rowOff>180975</xdr:rowOff>
    </xdr:from>
    <xdr:to>
      <xdr:col>17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FD0754-FAB6-BA9C-9E09-4BD5A2A28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0</xdr:row>
      <xdr:rowOff>180975</xdr:rowOff>
    </xdr:from>
    <xdr:to>
      <xdr:col>17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1D66E9-0907-28D0-DA62-07B4A1233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0</xdr:row>
      <xdr:rowOff>180975</xdr:rowOff>
    </xdr:from>
    <xdr:to>
      <xdr:col>17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FFC866-BD15-CC88-CFAA-EB4800CB1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0</xdr:row>
      <xdr:rowOff>180975</xdr:rowOff>
    </xdr:from>
    <xdr:to>
      <xdr:col>17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D400B5-7E10-4A84-29B6-5574E7F04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0</xdr:row>
      <xdr:rowOff>90487</xdr:rowOff>
    </xdr:from>
    <xdr:to>
      <xdr:col>16</xdr:col>
      <xdr:colOff>485775</xdr:colOff>
      <xdr:row>10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1A6C37-38EC-ABE8-1A8F-12F88A452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0</xdr:row>
      <xdr:rowOff>180975</xdr:rowOff>
    </xdr:from>
    <xdr:to>
      <xdr:col>19</xdr:col>
      <xdr:colOff>238125</xdr:colOff>
      <xdr:row>10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E16CFE3-E86A-EF7A-31DF-086EC88A9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selection activeCell="C19" sqref="C19"/>
    </sheetView>
  </sheetViews>
  <sheetFormatPr defaultRowHeight="15" x14ac:dyDescent="0.25"/>
  <sheetData>
    <row r="1" spans="1:10" x14ac:dyDescent="0.25">
      <c r="A1">
        <v>4.1044648579363381</v>
      </c>
      <c r="E1" s="3" t="s">
        <v>30</v>
      </c>
      <c r="F1" s="3" t="s">
        <v>32</v>
      </c>
      <c r="G1" s="3" t="s">
        <v>33</v>
      </c>
      <c r="H1" s="3" t="s">
        <v>30</v>
      </c>
      <c r="I1" s="3" t="s">
        <v>32</v>
      </c>
      <c r="J1" s="3" t="s">
        <v>33</v>
      </c>
    </row>
    <row r="2" spans="1:10" x14ac:dyDescent="0.25">
      <c r="A2">
        <v>5.9130527665028838</v>
      </c>
      <c r="E2" s="1">
        <v>0.31275368511001922</v>
      </c>
      <c r="F2" s="1">
        <v>1</v>
      </c>
      <c r="G2" s="6">
        <v>3.3333333333333333E-2</v>
      </c>
      <c r="H2" s="7" t="s">
        <v>31</v>
      </c>
      <c r="I2" s="1">
        <v>8</v>
      </c>
      <c r="J2" s="6">
        <v>0.26666666666666666</v>
      </c>
    </row>
    <row r="3" spans="1:10" x14ac:dyDescent="0.25">
      <c r="A3">
        <v>2.0702841273232213</v>
      </c>
      <c r="E3" s="1">
        <v>1.6230292672505875</v>
      </c>
      <c r="F3" s="1">
        <v>7</v>
      </c>
      <c r="G3" s="6">
        <v>0.26666666666666666</v>
      </c>
      <c r="H3" s="7">
        <v>1.6230292672505875</v>
      </c>
      <c r="I3" s="1">
        <v>7</v>
      </c>
      <c r="J3" s="6">
        <v>0.5</v>
      </c>
    </row>
    <row r="4" spans="1:10" x14ac:dyDescent="0.25">
      <c r="A4">
        <v>1.4249092074343088</v>
      </c>
      <c r="E4" s="1">
        <v>2.9333048493911558</v>
      </c>
      <c r="F4" s="1">
        <v>4</v>
      </c>
      <c r="G4" s="6">
        <v>0.4</v>
      </c>
      <c r="H4" s="7">
        <v>4.2435804315317238</v>
      </c>
      <c r="I4" s="1">
        <v>5</v>
      </c>
      <c r="J4" s="6">
        <v>0.66666666666666663</v>
      </c>
    </row>
    <row r="5" spans="1:10" x14ac:dyDescent="0.25">
      <c r="A5">
        <v>2.3744926297799616</v>
      </c>
      <c r="E5" s="1">
        <v>4.2435804315317238</v>
      </c>
      <c r="F5" s="1">
        <v>5</v>
      </c>
      <c r="G5" s="6">
        <v>0.56666666666666665</v>
      </c>
      <c r="H5" s="7">
        <v>5.5538560136722923</v>
      </c>
      <c r="I5" s="1">
        <v>5</v>
      </c>
      <c r="J5" s="6">
        <v>0.83333333333333337</v>
      </c>
    </row>
    <row r="6" spans="1:10" x14ac:dyDescent="0.25">
      <c r="A6">
        <v>0.31275368511001922</v>
      </c>
      <c r="E6" s="1">
        <v>5.5538560136722923</v>
      </c>
      <c r="F6" s="1">
        <v>5</v>
      </c>
      <c r="G6" s="6">
        <v>0.73333333333333328</v>
      </c>
      <c r="H6" s="7">
        <v>2.9333048493911558</v>
      </c>
      <c r="I6" s="1">
        <v>4</v>
      </c>
      <c r="J6" s="6">
        <v>0.96666666666666667</v>
      </c>
    </row>
    <row r="7" spans="1:10" ht="15.75" thickBot="1" x14ac:dyDescent="0.3">
      <c r="A7">
        <v>0.51036103396710097</v>
      </c>
      <c r="E7" s="2" t="s">
        <v>31</v>
      </c>
      <c r="F7" s="2">
        <v>8</v>
      </c>
      <c r="G7" s="8">
        <v>1</v>
      </c>
      <c r="H7" s="9">
        <v>0.31275368511001922</v>
      </c>
      <c r="I7" s="2">
        <v>1</v>
      </c>
      <c r="J7" s="8">
        <v>1</v>
      </c>
    </row>
    <row r="8" spans="1:10" x14ac:dyDescent="0.25">
      <c r="A8">
        <v>1.1591540269173255</v>
      </c>
    </row>
    <row r="9" spans="1:10" x14ac:dyDescent="0.25">
      <c r="A9">
        <v>2.4441358684041874</v>
      </c>
    </row>
    <row r="10" spans="1:10" x14ac:dyDescent="0.25">
      <c r="A10">
        <v>6.2913907284768209</v>
      </c>
    </row>
    <row r="11" spans="1:10" x14ac:dyDescent="0.25">
      <c r="A11">
        <v>6.7882930997650073</v>
      </c>
    </row>
    <row r="12" spans="1:10" x14ac:dyDescent="0.25">
      <c r="A12">
        <v>1.0361033967101048</v>
      </c>
    </row>
    <row r="13" spans="1:10" x14ac:dyDescent="0.25">
      <c r="A13">
        <v>5.2525101474044007</v>
      </c>
    </row>
    <row r="14" spans="1:10" x14ac:dyDescent="0.25">
      <c r="A14">
        <v>5.1745353556932274</v>
      </c>
    </row>
    <row r="15" spans="1:10" x14ac:dyDescent="0.25">
      <c r="A15">
        <v>5.0952787865840632</v>
      </c>
    </row>
    <row r="16" spans="1:10" x14ac:dyDescent="0.25">
      <c r="A16">
        <v>6.0657979064302499</v>
      </c>
    </row>
    <row r="17" spans="1:1" x14ac:dyDescent="0.25">
      <c r="A17">
        <v>3.7895748771629996</v>
      </c>
    </row>
    <row r="18" spans="1:1" x14ac:dyDescent="0.25">
      <c r="A18">
        <v>6.4127323221533867</v>
      </c>
    </row>
    <row r="19" spans="1:1" x14ac:dyDescent="0.25">
      <c r="A19">
        <v>3.6252937406537069</v>
      </c>
    </row>
    <row r="20" spans="1:1" x14ac:dyDescent="0.25">
      <c r="A20">
        <v>3.1301004058961759</v>
      </c>
    </row>
    <row r="21" spans="1:1" x14ac:dyDescent="0.25">
      <c r="A21">
        <v>3.4669942320017091</v>
      </c>
    </row>
    <row r="22" spans="1:1" x14ac:dyDescent="0.25">
      <c r="A22">
        <v>4.2948088015381325</v>
      </c>
    </row>
    <row r="23" spans="1:1" x14ac:dyDescent="0.25">
      <c r="A23">
        <v>6.3823969237342446</v>
      </c>
    </row>
    <row r="24" spans="1:1" x14ac:dyDescent="0.25">
      <c r="A24">
        <v>5.6353343302713093</v>
      </c>
    </row>
    <row r="25" spans="1:1" x14ac:dyDescent="0.25">
      <c r="A25">
        <v>1.3642384105960266</v>
      </c>
    </row>
    <row r="26" spans="1:1" x14ac:dyDescent="0.25">
      <c r="A26">
        <v>5.5387737662892551</v>
      </c>
    </row>
    <row r="27" spans="1:1" x14ac:dyDescent="0.25">
      <c r="A27">
        <v>6.8641315958128608</v>
      </c>
    </row>
    <row r="28" spans="1:1" x14ac:dyDescent="0.25">
      <c r="A28">
        <v>1.0388805810724204</v>
      </c>
    </row>
    <row r="29" spans="1:1" x14ac:dyDescent="0.25">
      <c r="A29">
        <v>1.3503524887844478</v>
      </c>
    </row>
    <row r="30" spans="1:1" x14ac:dyDescent="0.25">
      <c r="A30">
        <v>1.7551805169835504</v>
      </c>
    </row>
  </sheetData>
  <sortState xmlns:xlrd2="http://schemas.microsoft.com/office/spreadsheetml/2017/richdata2" ref="H2:I7">
    <sortCondition descending="1" ref="I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7DED-3877-465F-BB4B-6979C3A05E87}">
  <dimension ref="A1:J30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>
        <v>-8.136960332194576</v>
      </c>
      <c r="E1" s="3" t="s">
        <v>30</v>
      </c>
      <c r="F1" s="3" t="s">
        <v>32</v>
      </c>
      <c r="G1" s="3" t="s">
        <v>33</v>
      </c>
      <c r="H1" s="3" t="s">
        <v>30</v>
      </c>
      <c r="I1" s="3" t="s">
        <v>32</v>
      </c>
      <c r="J1" s="3" t="s">
        <v>33</v>
      </c>
    </row>
    <row r="2" spans="1:10" x14ac:dyDescent="0.25">
      <c r="A2">
        <v>-3.3706442081893329</v>
      </c>
      <c r="E2" s="1">
        <v>-10.717940313043073</v>
      </c>
      <c r="F2" s="1">
        <v>1</v>
      </c>
      <c r="G2" s="6">
        <v>3.3333333333333333E-2</v>
      </c>
      <c r="H2" s="7">
        <v>1.7135080270236358</v>
      </c>
      <c r="I2" s="1">
        <v>10</v>
      </c>
      <c r="J2" s="6">
        <v>0.33333333333333331</v>
      </c>
    </row>
    <row r="3" spans="1:10" x14ac:dyDescent="0.25">
      <c r="A3">
        <v>-0.94721826826571487</v>
      </c>
      <c r="E3" s="1">
        <v>-6.5741241996875033</v>
      </c>
      <c r="F3" s="1">
        <v>2</v>
      </c>
      <c r="G3" s="6">
        <v>0.1</v>
      </c>
      <c r="H3" s="7">
        <v>5.8573241403792053</v>
      </c>
      <c r="I3" s="1">
        <v>7</v>
      </c>
      <c r="J3" s="6">
        <v>0.56666666666666665</v>
      </c>
    </row>
    <row r="4" spans="1:10" x14ac:dyDescent="0.25">
      <c r="A4">
        <v>-0.76216110755922273</v>
      </c>
      <c r="E4" s="1">
        <v>-2.4303080863319337</v>
      </c>
      <c r="F4" s="1">
        <v>6</v>
      </c>
      <c r="G4" s="6">
        <v>0.3</v>
      </c>
      <c r="H4" s="7">
        <v>-2.4303080863319337</v>
      </c>
      <c r="I4" s="1">
        <v>6</v>
      </c>
      <c r="J4" s="6">
        <v>0.76666666666666672</v>
      </c>
    </row>
    <row r="5" spans="1:10" x14ac:dyDescent="0.25">
      <c r="A5">
        <v>-5.0519633987278212</v>
      </c>
      <c r="E5" s="1">
        <v>1.7135080270236358</v>
      </c>
      <c r="F5" s="1">
        <v>10</v>
      </c>
      <c r="G5" s="6">
        <v>0.6333333333333333</v>
      </c>
      <c r="H5" s="7" t="s">
        <v>31</v>
      </c>
      <c r="I5" s="1">
        <v>4</v>
      </c>
      <c r="J5" s="6">
        <v>0.9</v>
      </c>
    </row>
    <row r="6" spans="1:10" x14ac:dyDescent="0.25">
      <c r="A6">
        <v>3.3748619898688048</v>
      </c>
      <c r="E6" s="1">
        <v>5.8573241403792053</v>
      </c>
      <c r="F6" s="1">
        <v>7</v>
      </c>
      <c r="G6" s="6">
        <v>0.8666666666666667</v>
      </c>
      <c r="H6" s="7">
        <v>-6.5741241996875033</v>
      </c>
      <c r="I6" s="1">
        <v>2</v>
      </c>
      <c r="J6" s="6">
        <v>0.96666666666666667</v>
      </c>
    </row>
    <row r="7" spans="1:10" ht="15.75" thickBot="1" x14ac:dyDescent="0.3">
      <c r="A7">
        <v>7.6194783105165698</v>
      </c>
      <c r="E7" s="2" t="s">
        <v>31</v>
      </c>
      <c r="F7" s="2">
        <v>4</v>
      </c>
      <c r="G7" s="8">
        <v>1</v>
      </c>
      <c r="H7" s="9">
        <v>-10.717940313043073</v>
      </c>
      <c r="I7" s="2">
        <v>1</v>
      </c>
      <c r="J7" s="8">
        <v>1</v>
      </c>
    </row>
    <row r="8" spans="1:10" x14ac:dyDescent="0.25">
      <c r="A8">
        <v>-1.0635494618327357</v>
      </c>
    </row>
    <row r="9" spans="1:10" x14ac:dyDescent="0.25">
      <c r="A9">
        <v>-3.1007061807031278</v>
      </c>
    </row>
    <row r="10" spans="1:10" x14ac:dyDescent="0.25">
      <c r="A10">
        <v>2.8254203243704978</v>
      </c>
    </row>
    <row r="11" spans="1:10" x14ac:dyDescent="0.25">
      <c r="A11">
        <v>3.1255353860615287</v>
      </c>
    </row>
    <row r="12" spans="1:10" x14ac:dyDescent="0.25">
      <c r="A12">
        <v>1.057039753504796</v>
      </c>
    </row>
    <row r="13" spans="1:10" x14ac:dyDescent="0.25">
      <c r="A13">
        <v>5.1771439757430926</v>
      </c>
    </row>
    <row r="14" spans="1:10" x14ac:dyDescent="0.25">
      <c r="A14">
        <v>-1.1427005119912792</v>
      </c>
    </row>
    <row r="15" spans="1:10" x14ac:dyDescent="0.25">
      <c r="A15">
        <v>7.015603387117153</v>
      </c>
    </row>
    <row r="16" spans="1:10" x14ac:dyDescent="0.25">
      <c r="A16">
        <v>10.001140253734775</v>
      </c>
    </row>
    <row r="17" spans="1:1" x14ac:dyDescent="0.25">
      <c r="A17">
        <v>-1.4461420505540445</v>
      </c>
    </row>
    <row r="18" spans="1:1" x14ac:dyDescent="0.25">
      <c r="A18">
        <v>7.6710148277925327</v>
      </c>
    </row>
    <row r="19" spans="1:1" x14ac:dyDescent="0.25">
      <c r="A19">
        <v>-10.717940313043073</v>
      </c>
    </row>
    <row r="20" spans="1:1" x14ac:dyDescent="0.25">
      <c r="A20">
        <v>-5.5741247706464492</v>
      </c>
    </row>
    <row r="21" spans="1:1" x14ac:dyDescent="0.25">
      <c r="A21">
        <v>2.2855442693980876</v>
      </c>
    </row>
    <row r="22" spans="1:1" x14ac:dyDescent="0.25">
      <c r="A22">
        <v>-9.7181509772781283</v>
      </c>
    </row>
    <row r="23" spans="1:1" x14ac:dyDescent="0.25">
      <c r="A23">
        <v>-3.2163211471925024</v>
      </c>
    </row>
    <row r="24" spans="1:1" x14ac:dyDescent="0.25">
      <c r="A24">
        <v>-1.5689033716626</v>
      </c>
    </row>
    <row r="25" spans="1:1" x14ac:dyDescent="0.25">
      <c r="A25">
        <v>-2.1380651560320985</v>
      </c>
    </row>
    <row r="26" spans="1:1" x14ac:dyDescent="0.25">
      <c r="A26">
        <v>-3.3388118936272804</v>
      </c>
    </row>
    <row r="27" spans="1:1" x14ac:dyDescent="0.25">
      <c r="A27">
        <v>1.7048432709998451</v>
      </c>
    </row>
    <row r="28" spans="1:1" x14ac:dyDescent="0.25">
      <c r="A28">
        <v>2.6807902031578124</v>
      </c>
    </row>
    <row r="29" spans="1:1" x14ac:dyDescent="0.25">
      <c r="A29">
        <v>0.59161948229302652</v>
      </c>
    </row>
    <row r="30" spans="1:1" x14ac:dyDescent="0.25">
      <c r="A30">
        <v>5.4841507335368078</v>
      </c>
    </row>
  </sheetData>
  <sortState xmlns:xlrd2="http://schemas.microsoft.com/office/spreadsheetml/2017/richdata2" ref="H2:I7">
    <sortCondition descending="1" ref="I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FEA2-9ED8-45B9-B66D-C88FCA699627}">
  <dimension ref="A1:J30"/>
  <sheetViews>
    <sheetView workbookViewId="0">
      <selection activeCell="E22" sqref="E22"/>
    </sheetView>
  </sheetViews>
  <sheetFormatPr defaultRowHeight="15" x14ac:dyDescent="0.25"/>
  <sheetData>
    <row r="1" spans="1:10" x14ac:dyDescent="0.25">
      <c r="A1">
        <v>0</v>
      </c>
      <c r="E1" s="3" t="s">
        <v>30</v>
      </c>
      <c r="F1" s="3" t="s">
        <v>32</v>
      </c>
      <c r="G1" s="3" t="s">
        <v>33</v>
      </c>
      <c r="H1" s="3" t="s">
        <v>30</v>
      </c>
      <c r="I1" s="3" t="s">
        <v>32</v>
      </c>
      <c r="J1" s="3" t="s">
        <v>33</v>
      </c>
    </row>
    <row r="2" spans="1:10" x14ac:dyDescent="0.25">
      <c r="A2">
        <v>0</v>
      </c>
      <c r="E2" s="1">
        <v>0</v>
      </c>
      <c r="F2" s="1">
        <v>12</v>
      </c>
      <c r="G2" s="6">
        <v>0.4</v>
      </c>
      <c r="H2" s="7" t="s">
        <v>31</v>
      </c>
      <c r="I2" s="1">
        <v>18</v>
      </c>
      <c r="J2" s="6">
        <v>0.6</v>
      </c>
    </row>
    <row r="3" spans="1:10" x14ac:dyDescent="0.25">
      <c r="A3">
        <v>1</v>
      </c>
      <c r="E3" s="1">
        <v>0.2</v>
      </c>
      <c r="F3" s="1">
        <v>0</v>
      </c>
      <c r="G3" s="6">
        <v>0.4</v>
      </c>
      <c r="H3" s="7">
        <v>0</v>
      </c>
      <c r="I3" s="1">
        <v>12</v>
      </c>
      <c r="J3" s="6">
        <v>1</v>
      </c>
    </row>
    <row r="4" spans="1:10" x14ac:dyDescent="0.25">
      <c r="A4">
        <v>1</v>
      </c>
      <c r="E4" s="1">
        <v>0.4</v>
      </c>
      <c r="F4" s="1">
        <v>0</v>
      </c>
      <c r="G4" s="6">
        <v>0.4</v>
      </c>
      <c r="H4" s="7">
        <v>0.2</v>
      </c>
      <c r="I4" s="1">
        <v>0</v>
      </c>
      <c r="J4" s="6">
        <v>1</v>
      </c>
    </row>
    <row r="5" spans="1:10" x14ac:dyDescent="0.25">
      <c r="A5">
        <v>0</v>
      </c>
      <c r="E5" s="1">
        <v>0.60000000000000009</v>
      </c>
      <c r="F5" s="1">
        <v>0</v>
      </c>
      <c r="G5" s="6">
        <v>0.4</v>
      </c>
      <c r="H5" s="7">
        <v>0.4</v>
      </c>
      <c r="I5" s="1">
        <v>0</v>
      </c>
      <c r="J5" s="6">
        <v>1</v>
      </c>
    </row>
    <row r="6" spans="1:10" x14ac:dyDescent="0.25">
      <c r="A6">
        <v>1</v>
      </c>
      <c r="E6" s="1">
        <v>0.8</v>
      </c>
      <c r="F6" s="1">
        <v>0</v>
      </c>
      <c r="G6" s="6">
        <v>0.4</v>
      </c>
      <c r="H6" s="7">
        <v>0.60000000000000009</v>
      </c>
      <c r="I6" s="1">
        <v>0</v>
      </c>
      <c r="J6" s="6">
        <v>1</v>
      </c>
    </row>
    <row r="7" spans="1:10" ht="15.75" thickBot="1" x14ac:dyDescent="0.3">
      <c r="A7">
        <v>1</v>
      </c>
      <c r="E7" s="2" t="s">
        <v>31</v>
      </c>
      <c r="F7" s="2">
        <v>18</v>
      </c>
      <c r="G7" s="8">
        <v>1</v>
      </c>
      <c r="H7" s="9">
        <v>0.8</v>
      </c>
      <c r="I7" s="2">
        <v>0</v>
      </c>
      <c r="J7" s="8">
        <v>1</v>
      </c>
    </row>
    <row r="8" spans="1:10" x14ac:dyDescent="0.25">
      <c r="A8">
        <v>0</v>
      </c>
    </row>
    <row r="9" spans="1:10" x14ac:dyDescent="0.25">
      <c r="A9">
        <v>1</v>
      </c>
    </row>
    <row r="10" spans="1:10" x14ac:dyDescent="0.25">
      <c r="A10">
        <v>1</v>
      </c>
    </row>
    <row r="11" spans="1:10" x14ac:dyDescent="0.25">
      <c r="A11">
        <v>0</v>
      </c>
    </row>
    <row r="12" spans="1:10" x14ac:dyDescent="0.25">
      <c r="A12">
        <v>1</v>
      </c>
    </row>
    <row r="13" spans="1:10" x14ac:dyDescent="0.25">
      <c r="A13">
        <v>0</v>
      </c>
    </row>
    <row r="14" spans="1:10" x14ac:dyDescent="0.25">
      <c r="A14">
        <v>1</v>
      </c>
    </row>
    <row r="15" spans="1:10" x14ac:dyDescent="0.25">
      <c r="A15">
        <v>0</v>
      </c>
    </row>
    <row r="16" spans="1:10" x14ac:dyDescent="0.25">
      <c r="A16">
        <v>1</v>
      </c>
    </row>
    <row r="17" spans="1:1" x14ac:dyDescent="0.25">
      <c r="A17">
        <v>0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0</v>
      </c>
    </row>
    <row r="21" spans="1:1" x14ac:dyDescent="0.25">
      <c r="A21">
        <v>1</v>
      </c>
    </row>
    <row r="22" spans="1:1" x14ac:dyDescent="0.25">
      <c r="A22">
        <v>0</v>
      </c>
    </row>
    <row r="23" spans="1:1" x14ac:dyDescent="0.25">
      <c r="A23">
        <v>1</v>
      </c>
    </row>
    <row r="24" spans="1:1" x14ac:dyDescent="0.25">
      <c r="A24">
        <v>0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0</v>
      </c>
    </row>
    <row r="29" spans="1:1" x14ac:dyDescent="0.25">
      <c r="A29">
        <v>1</v>
      </c>
    </row>
    <row r="30" spans="1:1" x14ac:dyDescent="0.25">
      <c r="A30">
        <v>1</v>
      </c>
    </row>
  </sheetData>
  <sortState xmlns:xlrd2="http://schemas.microsoft.com/office/spreadsheetml/2017/richdata2" ref="H2:I7">
    <sortCondition descending="1" ref="I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7D1A-0A13-492D-A01E-3A118ECEFC04}">
  <dimension ref="A1:J30"/>
  <sheetViews>
    <sheetView workbookViewId="0">
      <selection activeCell="E19" sqref="E19"/>
    </sheetView>
  </sheetViews>
  <sheetFormatPr defaultRowHeight="15" x14ac:dyDescent="0.25"/>
  <sheetData>
    <row r="1" spans="1:10" x14ac:dyDescent="0.25">
      <c r="A1">
        <v>6</v>
      </c>
      <c r="E1" s="3" t="s">
        <v>30</v>
      </c>
      <c r="F1" s="3" t="s">
        <v>32</v>
      </c>
      <c r="G1" s="3" t="s">
        <v>33</v>
      </c>
      <c r="H1" s="3" t="s">
        <v>30</v>
      </c>
      <c r="I1" s="3" t="s">
        <v>32</v>
      </c>
      <c r="J1" s="3" t="s">
        <v>33</v>
      </c>
    </row>
    <row r="2" spans="1:10" x14ac:dyDescent="0.25">
      <c r="A2">
        <v>5</v>
      </c>
      <c r="E2" s="1">
        <v>2</v>
      </c>
      <c r="F2" s="1">
        <v>1</v>
      </c>
      <c r="G2" s="6">
        <v>3.3333333333333333E-2</v>
      </c>
      <c r="H2" s="7">
        <v>5</v>
      </c>
      <c r="I2" s="1">
        <v>9</v>
      </c>
      <c r="J2" s="6">
        <v>0.3</v>
      </c>
    </row>
    <row r="3" spans="1:10" x14ac:dyDescent="0.25">
      <c r="A3">
        <v>6</v>
      </c>
      <c r="E3" s="1">
        <v>3</v>
      </c>
      <c r="F3" s="1">
        <v>3</v>
      </c>
      <c r="G3" s="6">
        <v>0.13333333333333333</v>
      </c>
      <c r="H3" s="7">
        <v>6</v>
      </c>
      <c r="I3" s="1">
        <v>9</v>
      </c>
      <c r="J3" s="6">
        <v>0.6</v>
      </c>
    </row>
    <row r="4" spans="1:10" x14ac:dyDescent="0.25">
      <c r="A4">
        <v>2</v>
      </c>
      <c r="E4" s="1">
        <v>4</v>
      </c>
      <c r="F4" s="1">
        <v>7</v>
      </c>
      <c r="G4" s="6">
        <v>0.36666666666666664</v>
      </c>
      <c r="H4" s="7">
        <v>4</v>
      </c>
      <c r="I4" s="1">
        <v>7</v>
      </c>
      <c r="J4" s="6">
        <v>0.83333333333333337</v>
      </c>
    </row>
    <row r="5" spans="1:10" x14ac:dyDescent="0.25">
      <c r="A5">
        <v>7</v>
      </c>
      <c r="E5" s="1">
        <v>5</v>
      </c>
      <c r="F5" s="1">
        <v>9</v>
      </c>
      <c r="G5" s="6">
        <v>0.66666666666666663</v>
      </c>
      <c r="H5" s="7">
        <v>3</v>
      </c>
      <c r="I5" s="1">
        <v>3</v>
      </c>
      <c r="J5" s="6">
        <v>0.93333333333333335</v>
      </c>
    </row>
    <row r="6" spans="1:10" x14ac:dyDescent="0.25">
      <c r="A6">
        <v>5</v>
      </c>
      <c r="E6" s="1">
        <v>6</v>
      </c>
      <c r="F6" s="1">
        <v>9</v>
      </c>
      <c r="G6" s="6">
        <v>0.96666666666666667</v>
      </c>
      <c r="H6" s="7">
        <v>2</v>
      </c>
      <c r="I6" s="1">
        <v>1</v>
      </c>
      <c r="J6" s="6">
        <v>0.96666666666666667</v>
      </c>
    </row>
    <row r="7" spans="1:10" ht="15.75" thickBot="1" x14ac:dyDescent="0.3">
      <c r="A7">
        <v>6</v>
      </c>
      <c r="E7" s="2" t="s">
        <v>31</v>
      </c>
      <c r="F7" s="2">
        <v>1</v>
      </c>
      <c r="G7" s="8">
        <v>1</v>
      </c>
      <c r="H7" s="9" t="s">
        <v>31</v>
      </c>
      <c r="I7" s="2">
        <v>1</v>
      </c>
      <c r="J7" s="8">
        <v>1</v>
      </c>
    </row>
    <row r="8" spans="1:10" x14ac:dyDescent="0.25">
      <c r="A8">
        <v>4</v>
      </c>
    </row>
    <row r="9" spans="1:10" x14ac:dyDescent="0.25">
      <c r="A9">
        <v>6</v>
      </c>
    </row>
    <row r="10" spans="1:10" x14ac:dyDescent="0.25">
      <c r="A10">
        <v>5</v>
      </c>
    </row>
    <row r="11" spans="1:10" x14ac:dyDescent="0.25">
      <c r="A11">
        <v>6</v>
      </c>
    </row>
    <row r="12" spans="1:10" x14ac:dyDescent="0.25">
      <c r="A12">
        <v>6</v>
      </c>
    </row>
    <row r="13" spans="1:10" x14ac:dyDescent="0.25">
      <c r="A13">
        <v>5</v>
      </c>
    </row>
    <row r="14" spans="1:10" x14ac:dyDescent="0.25">
      <c r="A14">
        <v>5</v>
      </c>
    </row>
    <row r="15" spans="1:10" x14ac:dyDescent="0.25">
      <c r="A15">
        <v>3</v>
      </c>
    </row>
    <row r="16" spans="1:10" x14ac:dyDescent="0.25">
      <c r="A16">
        <v>5</v>
      </c>
    </row>
    <row r="17" spans="1:1" x14ac:dyDescent="0.25">
      <c r="A17">
        <v>4</v>
      </c>
    </row>
    <row r="18" spans="1:1" x14ac:dyDescent="0.25">
      <c r="A18">
        <v>6</v>
      </c>
    </row>
    <row r="19" spans="1:1" x14ac:dyDescent="0.25">
      <c r="A19">
        <v>4</v>
      </c>
    </row>
    <row r="20" spans="1:1" x14ac:dyDescent="0.25">
      <c r="A20">
        <v>4</v>
      </c>
    </row>
    <row r="21" spans="1:1" x14ac:dyDescent="0.25">
      <c r="A21">
        <v>4</v>
      </c>
    </row>
    <row r="22" spans="1:1" x14ac:dyDescent="0.25">
      <c r="A22">
        <v>6</v>
      </c>
    </row>
    <row r="23" spans="1:1" x14ac:dyDescent="0.25">
      <c r="A23">
        <v>3</v>
      </c>
    </row>
    <row r="24" spans="1:1" x14ac:dyDescent="0.25">
      <c r="A24">
        <v>3</v>
      </c>
    </row>
    <row r="25" spans="1:1" x14ac:dyDescent="0.25">
      <c r="A25">
        <v>6</v>
      </c>
    </row>
    <row r="26" spans="1:1" x14ac:dyDescent="0.25">
      <c r="A26">
        <v>4</v>
      </c>
    </row>
    <row r="27" spans="1:1" x14ac:dyDescent="0.25">
      <c r="A27">
        <v>5</v>
      </c>
    </row>
    <row r="28" spans="1:1" x14ac:dyDescent="0.25">
      <c r="A28">
        <v>5</v>
      </c>
    </row>
    <row r="29" spans="1:1" x14ac:dyDescent="0.25">
      <c r="A29">
        <v>4</v>
      </c>
    </row>
    <row r="30" spans="1:1" x14ac:dyDescent="0.25">
      <c r="A30">
        <v>5</v>
      </c>
    </row>
  </sheetData>
  <sortState xmlns:xlrd2="http://schemas.microsoft.com/office/spreadsheetml/2017/richdata2" ref="H2:I7">
    <sortCondition descending="1" ref="I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28E0-70A4-42A8-926A-37F018EB1848}">
  <dimension ref="A1:J30"/>
  <sheetViews>
    <sheetView workbookViewId="0">
      <selection activeCell="E14" sqref="E14"/>
    </sheetView>
  </sheetViews>
  <sheetFormatPr defaultRowHeight="15" x14ac:dyDescent="0.25"/>
  <sheetData>
    <row r="1" spans="1:10" x14ac:dyDescent="0.25">
      <c r="A1">
        <v>2</v>
      </c>
      <c r="E1" s="3" t="s">
        <v>30</v>
      </c>
      <c r="F1" s="3" t="s">
        <v>32</v>
      </c>
      <c r="G1" s="3" t="s">
        <v>33</v>
      </c>
      <c r="H1" s="3" t="s">
        <v>30</v>
      </c>
      <c r="I1" s="3" t="s">
        <v>32</v>
      </c>
      <c r="J1" s="3" t="s">
        <v>33</v>
      </c>
    </row>
    <row r="2" spans="1:10" x14ac:dyDescent="0.25">
      <c r="A2">
        <v>9</v>
      </c>
      <c r="E2" s="1">
        <v>2</v>
      </c>
      <c r="F2" s="1">
        <v>1</v>
      </c>
      <c r="G2" s="6">
        <v>3.3333333333333333E-2</v>
      </c>
      <c r="H2" s="7">
        <v>8</v>
      </c>
      <c r="I2" s="1">
        <v>10</v>
      </c>
      <c r="J2" s="6">
        <v>0.33333333333333331</v>
      </c>
    </row>
    <row r="3" spans="1:10" x14ac:dyDescent="0.25">
      <c r="A3">
        <v>12</v>
      </c>
      <c r="E3" s="1">
        <v>4</v>
      </c>
      <c r="F3" s="1">
        <v>5</v>
      </c>
      <c r="G3" s="6">
        <v>0.2</v>
      </c>
      <c r="H3" s="7">
        <v>6</v>
      </c>
      <c r="I3" s="1">
        <v>6</v>
      </c>
      <c r="J3" s="6">
        <v>0.53333333333333333</v>
      </c>
    </row>
    <row r="4" spans="1:10" x14ac:dyDescent="0.25">
      <c r="A4">
        <v>9</v>
      </c>
      <c r="E4" s="1">
        <v>6</v>
      </c>
      <c r="F4" s="1">
        <v>6</v>
      </c>
      <c r="G4" s="6">
        <v>0.4</v>
      </c>
      <c r="H4" s="7">
        <v>4</v>
      </c>
      <c r="I4" s="1">
        <v>5</v>
      </c>
      <c r="J4" s="6">
        <v>0.7</v>
      </c>
    </row>
    <row r="5" spans="1:10" x14ac:dyDescent="0.25">
      <c r="A5">
        <v>3</v>
      </c>
      <c r="E5" s="1">
        <v>8</v>
      </c>
      <c r="F5" s="1">
        <v>10</v>
      </c>
      <c r="G5" s="6">
        <v>0.73333333333333328</v>
      </c>
      <c r="H5" s="7">
        <v>10</v>
      </c>
      <c r="I5" s="1">
        <v>4</v>
      </c>
      <c r="J5" s="6">
        <v>0.83333333333333337</v>
      </c>
    </row>
    <row r="6" spans="1:10" x14ac:dyDescent="0.25">
      <c r="A6">
        <v>6</v>
      </c>
      <c r="E6" s="1">
        <v>10</v>
      </c>
      <c r="F6" s="1">
        <v>4</v>
      </c>
      <c r="G6" s="6">
        <v>0.8666666666666667</v>
      </c>
      <c r="H6" s="7" t="s">
        <v>31</v>
      </c>
      <c r="I6" s="1">
        <v>4</v>
      </c>
      <c r="J6" s="6">
        <v>0.96666666666666667</v>
      </c>
    </row>
    <row r="7" spans="1:10" ht="15.75" thickBot="1" x14ac:dyDescent="0.3">
      <c r="A7">
        <v>7</v>
      </c>
      <c r="E7" s="2" t="s">
        <v>31</v>
      </c>
      <c r="F7" s="2">
        <v>4</v>
      </c>
      <c r="G7" s="8">
        <v>1</v>
      </c>
      <c r="H7" s="9">
        <v>2</v>
      </c>
      <c r="I7" s="2">
        <v>1</v>
      </c>
      <c r="J7" s="8">
        <v>1</v>
      </c>
    </row>
    <row r="8" spans="1:10" x14ac:dyDescent="0.25">
      <c r="A8">
        <v>6</v>
      </c>
    </row>
    <row r="9" spans="1:10" x14ac:dyDescent="0.25">
      <c r="A9">
        <v>7</v>
      </c>
    </row>
    <row r="10" spans="1:10" x14ac:dyDescent="0.25">
      <c r="A10">
        <v>10</v>
      </c>
    </row>
    <row r="11" spans="1:10" x14ac:dyDescent="0.25">
      <c r="A11">
        <v>5</v>
      </c>
    </row>
    <row r="12" spans="1:10" x14ac:dyDescent="0.25">
      <c r="A12">
        <v>4</v>
      </c>
    </row>
    <row r="13" spans="1:10" x14ac:dyDescent="0.25">
      <c r="A13">
        <v>11</v>
      </c>
    </row>
    <row r="14" spans="1:10" x14ac:dyDescent="0.25">
      <c r="A14">
        <v>11</v>
      </c>
    </row>
    <row r="15" spans="1:10" x14ac:dyDescent="0.25">
      <c r="A15">
        <v>11</v>
      </c>
    </row>
    <row r="16" spans="1:10" x14ac:dyDescent="0.25">
      <c r="A16">
        <v>3</v>
      </c>
    </row>
    <row r="17" spans="1:1" x14ac:dyDescent="0.25">
      <c r="A17">
        <v>7</v>
      </c>
    </row>
    <row r="18" spans="1:1" x14ac:dyDescent="0.25">
      <c r="A18">
        <v>7</v>
      </c>
    </row>
    <row r="19" spans="1:1" x14ac:dyDescent="0.25">
      <c r="A19">
        <v>8</v>
      </c>
    </row>
    <row r="20" spans="1:1" x14ac:dyDescent="0.25">
      <c r="A20">
        <v>7</v>
      </c>
    </row>
    <row r="21" spans="1:1" x14ac:dyDescent="0.25">
      <c r="A21">
        <v>6</v>
      </c>
    </row>
    <row r="22" spans="1:1" x14ac:dyDescent="0.25">
      <c r="A22">
        <v>6</v>
      </c>
    </row>
    <row r="23" spans="1:1" x14ac:dyDescent="0.25">
      <c r="A23">
        <v>5</v>
      </c>
    </row>
    <row r="24" spans="1:1" x14ac:dyDescent="0.25">
      <c r="A24">
        <v>8</v>
      </c>
    </row>
    <row r="25" spans="1:1" x14ac:dyDescent="0.25">
      <c r="A25">
        <v>4</v>
      </c>
    </row>
    <row r="26" spans="1:1" x14ac:dyDescent="0.25">
      <c r="A26">
        <v>8</v>
      </c>
    </row>
    <row r="27" spans="1:1" x14ac:dyDescent="0.25">
      <c r="A27">
        <v>10</v>
      </c>
    </row>
    <row r="28" spans="1:1" x14ac:dyDescent="0.25">
      <c r="A28">
        <v>8</v>
      </c>
    </row>
    <row r="29" spans="1:1" x14ac:dyDescent="0.25">
      <c r="A29">
        <v>3</v>
      </c>
    </row>
    <row r="30" spans="1:1" x14ac:dyDescent="0.25">
      <c r="A30">
        <v>7</v>
      </c>
    </row>
  </sheetData>
  <sortState xmlns:xlrd2="http://schemas.microsoft.com/office/spreadsheetml/2017/richdata2" ref="H2:I7">
    <sortCondition descending="1" ref="I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C1C0-4F41-42A9-B24F-1334C1FCB06F}">
  <dimension ref="A1:J40"/>
  <sheetViews>
    <sheetView workbookViewId="0">
      <selection activeCell="E16" sqref="E16"/>
    </sheetView>
  </sheetViews>
  <sheetFormatPr defaultRowHeight="15" x14ac:dyDescent="0.25"/>
  <sheetData>
    <row r="1" spans="1:10" x14ac:dyDescent="0.25">
      <c r="A1">
        <v>1</v>
      </c>
      <c r="E1" s="3" t="s">
        <v>30</v>
      </c>
      <c r="F1" s="3" t="s">
        <v>32</v>
      </c>
      <c r="G1" s="3" t="s">
        <v>33</v>
      </c>
      <c r="H1" s="3" t="s">
        <v>30</v>
      </c>
      <c r="I1" s="3" t="s">
        <v>32</v>
      </c>
      <c r="J1" s="3" t="s">
        <v>33</v>
      </c>
    </row>
    <row r="2" spans="1:10" x14ac:dyDescent="0.25">
      <c r="A2">
        <v>1</v>
      </c>
      <c r="E2" s="1">
        <v>1</v>
      </c>
      <c r="F2" s="1">
        <v>4</v>
      </c>
      <c r="G2" s="6">
        <v>0.1</v>
      </c>
      <c r="H2" s="7">
        <v>4</v>
      </c>
      <c r="I2" s="1">
        <v>8</v>
      </c>
      <c r="J2" s="6">
        <v>0.2</v>
      </c>
    </row>
    <row r="3" spans="1:10" x14ac:dyDescent="0.25">
      <c r="A3">
        <v>1.7</v>
      </c>
      <c r="E3" s="1">
        <v>2</v>
      </c>
      <c r="F3" s="1">
        <v>4</v>
      </c>
      <c r="G3" s="6">
        <v>0.2</v>
      </c>
      <c r="H3" s="7">
        <v>6</v>
      </c>
      <c r="I3" s="1">
        <v>8</v>
      </c>
      <c r="J3" s="6">
        <v>0.4</v>
      </c>
    </row>
    <row r="4" spans="1:10" x14ac:dyDescent="0.25">
      <c r="A4">
        <v>1.7</v>
      </c>
      <c r="E4" s="1">
        <v>3</v>
      </c>
      <c r="F4" s="1">
        <v>4</v>
      </c>
      <c r="G4" s="6">
        <v>0.3</v>
      </c>
      <c r="H4" s="7" t="s">
        <v>31</v>
      </c>
      <c r="I4" s="1">
        <v>8</v>
      </c>
      <c r="J4" s="6">
        <v>0.6</v>
      </c>
    </row>
    <row r="5" spans="1:10" x14ac:dyDescent="0.25">
      <c r="A5">
        <v>2.4</v>
      </c>
      <c r="E5" s="1">
        <v>4</v>
      </c>
      <c r="F5" s="1">
        <v>8</v>
      </c>
      <c r="G5" s="6">
        <v>0.5</v>
      </c>
      <c r="H5" s="7">
        <v>1</v>
      </c>
      <c r="I5" s="1">
        <v>4</v>
      </c>
      <c r="J5" s="6">
        <v>0.7</v>
      </c>
    </row>
    <row r="6" spans="1:10" x14ac:dyDescent="0.25">
      <c r="A6">
        <v>2.4</v>
      </c>
      <c r="E6" s="1">
        <v>5</v>
      </c>
      <c r="F6" s="1">
        <v>4</v>
      </c>
      <c r="G6" s="6">
        <v>0.6</v>
      </c>
      <c r="H6" s="7">
        <v>2</v>
      </c>
      <c r="I6" s="1">
        <v>4</v>
      </c>
      <c r="J6" s="6">
        <v>0.8</v>
      </c>
    </row>
    <row r="7" spans="1:10" x14ac:dyDescent="0.25">
      <c r="A7">
        <v>3.0999999999999996</v>
      </c>
      <c r="E7" s="1">
        <v>6</v>
      </c>
      <c r="F7" s="1">
        <v>8</v>
      </c>
      <c r="G7" s="6">
        <v>0.8</v>
      </c>
      <c r="H7" s="7">
        <v>3</v>
      </c>
      <c r="I7" s="1">
        <v>4</v>
      </c>
      <c r="J7" s="6">
        <v>0.9</v>
      </c>
    </row>
    <row r="8" spans="1:10" ht="15.75" thickBot="1" x14ac:dyDescent="0.3">
      <c r="A8">
        <v>3.0999999999999996</v>
      </c>
      <c r="E8" s="2" t="s">
        <v>31</v>
      </c>
      <c r="F8" s="2">
        <v>8</v>
      </c>
      <c r="G8" s="8">
        <v>1</v>
      </c>
      <c r="H8" s="9">
        <v>5</v>
      </c>
      <c r="I8" s="2">
        <v>4</v>
      </c>
      <c r="J8" s="8">
        <v>1</v>
      </c>
    </row>
    <row r="9" spans="1:10" x14ac:dyDescent="0.25">
      <c r="A9">
        <v>3.8</v>
      </c>
    </row>
    <row r="10" spans="1:10" x14ac:dyDescent="0.25">
      <c r="A10">
        <v>3.8</v>
      </c>
    </row>
    <row r="11" spans="1:10" x14ac:dyDescent="0.25">
      <c r="A11">
        <v>4.5</v>
      </c>
    </row>
    <row r="12" spans="1:10" x14ac:dyDescent="0.25">
      <c r="A12">
        <v>4.5</v>
      </c>
    </row>
    <row r="13" spans="1:10" x14ac:dyDescent="0.25">
      <c r="A13">
        <v>5.2</v>
      </c>
    </row>
    <row r="14" spans="1:10" x14ac:dyDescent="0.25">
      <c r="A14">
        <v>5.2</v>
      </c>
    </row>
    <row r="15" spans="1:10" x14ac:dyDescent="0.25">
      <c r="A15">
        <v>5.9</v>
      </c>
    </row>
    <row r="16" spans="1:10" x14ac:dyDescent="0.25">
      <c r="A16">
        <v>5.9</v>
      </c>
    </row>
    <row r="17" spans="1:1" x14ac:dyDescent="0.25">
      <c r="A17">
        <v>6.6000000000000005</v>
      </c>
    </row>
    <row r="18" spans="1:1" x14ac:dyDescent="0.25">
      <c r="A18">
        <v>6.6000000000000005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1.7</v>
      </c>
    </row>
    <row r="24" spans="1:1" x14ac:dyDescent="0.25">
      <c r="A24">
        <v>1.7</v>
      </c>
    </row>
    <row r="25" spans="1:1" x14ac:dyDescent="0.25">
      <c r="A25">
        <v>2.4</v>
      </c>
    </row>
    <row r="26" spans="1:1" x14ac:dyDescent="0.25">
      <c r="A26">
        <v>2.4</v>
      </c>
    </row>
    <row r="27" spans="1:1" x14ac:dyDescent="0.25">
      <c r="A27">
        <v>3.0999999999999996</v>
      </c>
    </row>
    <row r="28" spans="1:1" x14ac:dyDescent="0.25">
      <c r="A28">
        <v>3.0999999999999996</v>
      </c>
    </row>
    <row r="29" spans="1:1" x14ac:dyDescent="0.25">
      <c r="A29">
        <v>3.8</v>
      </c>
    </row>
    <row r="30" spans="1:1" x14ac:dyDescent="0.25">
      <c r="A30">
        <v>3.8</v>
      </c>
    </row>
    <row r="31" spans="1:1" x14ac:dyDescent="0.25">
      <c r="A31">
        <v>4.5</v>
      </c>
    </row>
    <row r="32" spans="1:1" x14ac:dyDescent="0.25">
      <c r="A32">
        <v>4.5</v>
      </c>
    </row>
    <row r="33" spans="1:1" x14ac:dyDescent="0.25">
      <c r="A33">
        <v>5.2</v>
      </c>
    </row>
    <row r="34" spans="1:1" x14ac:dyDescent="0.25">
      <c r="A34">
        <v>5.2</v>
      </c>
    </row>
    <row r="35" spans="1:1" x14ac:dyDescent="0.25">
      <c r="A35">
        <v>5.9</v>
      </c>
    </row>
    <row r="36" spans="1:1" x14ac:dyDescent="0.25">
      <c r="A36">
        <v>5.9</v>
      </c>
    </row>
    <row r="37" spans="1:1" x14ac:dyDescent="0.25">
      <c r="A37">
        <v>6.6000000000000005</v>
      </c>
    </row>
    <row r="38" spans="1:1" x14ac:dyDescent="0.25">
      <c r="A38">
        <v>6.6000000000000005</v>
      </c>
    </row>
    <row r="39" spans="1:1" x14ac:dyDescent="0.25">
      <c r="A39">
        <v>7</v>
      </c>
    </row>
    <row r="40" spans="1:1" x14ac:dyDescent="0.25">
      <c r="A40">
        <v>7</v>
      </c>
    </row>
  </sheetData>
  <sortState xmlns:xlrd2="http://schemas.microsoft.com/office/spreadsheetml/2017/richdata2" ref="H2:I8">
    <sortCondition descending="1" ref="I2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20CD-674D-4C0D-BC6E-4A9B491E4D3B}">
  <dimension ref="A1:L43"/>
  <sheetViews>
    <sheetView workbookViewId="0">
      <selection activeCell="E21" sqref="E21"/>
    </sheetView>
  </sheetViews>
  <sheetFormatPr defaultRowHeight="15" x14ac:dyDescent="0.25"/>
  <cols>
    <col min="1" max="1" width="18.42578125" customWidth="1"/>
    <col min="2" max="2" width="18.140625" customWidth="1"/>
  </cols>
  <sheetData>
    <row r="1" spans="1:12" x14ac:dyDescent="0.25">
      <c r="A1" t="s">
        <v>0</v>
      </c>
      <c r="B1" t="s">
        <v>1</v>
      </c>
      <c r="G1" s="3" t="s">
        <v>30</v>
      </c>
      <c r="H1" s="3" t="s">
        <v>32</v>
      </c>
      <c r="I1" s="3" t="s">
        <v>33</v>
      </c>
      <c r="J1" s="3" t="s">
        <v>30</v>
      </c>
      <c r="K1" s="3" t="s">
        <v>32</v>
      </c>
      <c r="L1" s="3" t="s">
        <v>33</v>
      </c>
    </row>
    <row r="2" spans="1:12" x14ac:dyDescent="0.25">
      <c r="A2">
        <v>1</v>
      </c>
      <c r="B2">
        <v>0.1</v>
      </c>
      <c r="G2" s="1">
        <v>1</v>
      </c>
      <c r="H2" s="1">
        <v>2</v>
      </c>
      <c r="I2" s="6">
        <v>6.4516129032258063E-2</v>
      </c>
      <c r="J2" s="7">
        <v>3.4</v>
      </c>
      <c r="K2" s="1">
        <v>9</v>
      </c>
      <c r="L2" s="6">
        <v>0.29032258064516131</v>
      </c>
    </row>
    <row r="3" spans="1:12" x14ac:dyDescent="0.25">
      <c r="A3">
        <v>2</v>
      </c>
      <c r="B3">
        <v>0.1</v>
      </c>
      <c r="G3" s="1">
        <v>2.2000000000000002</v>
      </c>
      <c r="H3" s="1">
        <v>4</v>
      </c>
      <c r="I3" s="6">
        <v>0.19354838709677419</v>
      </c>
      <c r="J3" s="7" t="s">
        <v>31</v>
      </c>
      <c r="K3" s="1">
        <v>9</v>
      </c>
      <c r="L3" s="6">
        <v>0.58064516129032262</v>
      </c>
    </row>
    <row r="4" spans="1:12" x14ac:dyDescent="0.25">
      <c r="A4">
        <v>3</v>
      </c>
      <c r="B4">
        <v>0.2</v>
      </c>
      <c r="G4" s="1">
        <v>3.4</v>
      </c>
      <c r="H4" s="1">
        <v>9</v>
      </c>
      <c r="I4" s="6">
        <v>0.4838709677419355</v>
      </c>
      <c r="J4" s="7">
        <v>5.8</v>
      </c>
      <c r="K4" s="1">
        <v>5</v>
      </c>
      <c r="L4" s="6">
        <v>0.74193548387096775</v>
      </c>
    </row>
    <row r="5" spans="1:12" x14ac:dyDescent="0.25">
      <c r="A5">
        <v>4</v>
      </c>
      <c r="B5">
        <v>0.2</v>
      </c>
      <c r="G5" s="1">
        <v>4.5999999999999996</v>
      </c>
      <c r="H5" s="1">
        <v>2</v>
      </c>
      <c r="I5" s="6">
        <v>0.54838709677419351</v>
      </c>
      <c r="J5" s="7">
        <v>2.2000000000000002</v>
      </c>
      <c r="K5" s="1">
        <v>4</v>
      </c>
      <c r="L5" s="6">
        <v>0.87096774193548387</v>
      </c>
    </row>
    <row r="6" spans="1:12" x14ac:dyDescent="0.25">
      <c r="A6">
        <v>5</v>
      </c>
      <c r="B6">
        <v>0.2</v>
      </c>
      <c r="G6" s="1">
        <v>5.8</v>
      </c>
      <c r="H6" s="1">
        <v>5</v>
      </c>
      <c r="I6" s="6">
        <v>0.70967741935483875</v>
      </c>
      <c r="J6" s="7">
        <v>1</v>
      </c>
      <c r="K6" s="1">
        <v>2</v>
      </c>
      <c r="L6" s="6">
        <v>0.93548387096774188</v>
      </c>
    </row>
    <row r="7" spans="1:12" ht="15.75" thickBot="1" x14ac:dyDescent="0.3">
      <c r="A7">
        <v>6</v>
      </c>
      <c r="B7">
        <v>0.1</v>
      </c>
      <c r="G7" s="2" t="s">
        <v>31</v>
      </c>
      <c r="H7" s="2">
        <v>9</v>
      </c>
      <c r="I7" s="8">
        <v>1</v>
      </c>
      <c r="J7" s="9">
        <v>4.5999999999999996</v>
      </c>
      <c r="K7" s="2">
        <v>2</v>
      </c>
      <c r="L7" s="8">
        <v>1</v>
      </c>
    </row>
    <row r="8" spans="1:12" x14ac:dyDescent="0.25">
      <c r="A8">
        <v>7</v>
      </c>
      <c r="B8">
        <v>0.1</v>
      </c>
    </row>
    <row r="12" spans="1:12" x14ac:dyDescent="0.25">
      <c r="A12" t="s">
        <v>2</v>
      </c>
    </row>
    <row r="13" spans="1:12" x14ac:dyDescent="0.25">
      <c r="A13">
        <v>2</v>
      </c>
    </row>
    <row r="14" spans="1:12" x14ac:dyDescent="0.25">
      <c r="A14">
        <v>1</v>
      </c>
    </row>
    <row r="15" spans="1:12" x14ac:dyDescent="0.25">
      <c r="A15">
        <v>6</v>
      </c>
    </row>
    <row r="16" spans="1:12" x14ac:dyDescent="0.25">
      <c r="A16">
        <v>5</v>
      </c>
    </row>
    <row r="17" spans="1:1" x14ac:dyDescent="0.25">
      <c r="A17">
        <v>3</v>
      </c>
    </row>
    <row r="18" spans="1:1" x14ac:dyDescent="0.25">
      <c r="A18">
        <v>2</v>
      </c>
    </row>
    <row r="19" spans="1:1" x14ac:dyDescent="0.25">
      <c r="A19">
        <v>3</v>
      </c>
    </row>
    <row r="20" spans="1:1" x14ac:dyDescent="0.25">
      <c r="A20">
        <v>6</v>
      </c>
    </row>
    <row r="21" spans="1:1" x14ac:dyDescent="0.25">
      <c r="A21">
        <v>3</v>
      </c>
    </row>
    <row r="22" spans="1:1" x14ac:dyDescent="0.25">
      <c r="A22">
        <v>5</v>
      </c>
    </row>
    <row r="23" spans="1:1" x14ac:dyDescent="0.25">
      <c r="A23">
        <v>7</v>
      </c>
    </row>
    <row r="24" spans="1:1" x14ac:dyDescent="0.25">
      <c r="A24">
        <v>6</v>
      </c>
    </row>
    <row r="25" spans="1:1" x14ac:dyDescent="0.25">
      <c r="A25">
        <v>1</v>
      </c>
    </row>
    <row r="26" spans="1:1" x14ac:dyDescent="0.25">
      <c r="A26">
        <v>5</v>
      </c>
    </row>
    <row r="27" spans="1:1" x14ac:dyDescent="0.25">
      <c r="A27">
        <v>3</v>
      </c>
    </row>
    <row r="28" spans="1:1" x14ac:dyDescent="0.25">
      <c r="A28">
        <v>5</v>
      </c>
    </row>
    <row r="29" spans="1:1" x14ac:dyDescent="0.25">
      <c r="A29">
        <v>3</v>
      </c>
    </row>
    <row r="30" spans="1:1" x14ac:dyDescent="0.25">
      <c r="A30">
        <v>6</v>
      </c>
    </row>
    <row r="31" spans="1:1" x14ac:dyDescent="0.25">
      <c r="A31">
        <v>7</v>
      </c>
    </row>
    <row r="32" spans="1:1" x14ac:dyDescent="0.25">
      <c r="A32">
        <v>2</v>
      </c>
    </row>
    <row r="33" spans="1:1" x14ac:dyDescent="0.25">
      <c r="A33">
        <v>6</v>
      </c>
    </row>
    <row r="34" spans="1:1" x14ac:dyDescent="0.25">
      <c r="A34">
        <v>5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2</v>
      </c>
    </row>
    <row r="38" spans="1:1" x14ac:dyDescent="0.25">
      <c r="A38">
        <v>3</v>
      </c>
    </row>
    <row r="39" spans="1:1" x14ac:dyDescent="0.25">
      <c r="A39">
        <v>6</v>
      </c>
    </row>
    <row r="40" spans="1:1" x14ac:dyDescent="0.25">
      <c r="A40">
        <v>7</v>
      </c>
    </row>
    <row r="41" spans="1:1" x14ac:dyDescent="0.25">
      <c r="A41">
        <v>4</v>
      </c>
    </row>
    <row r="42" spans="1:1" x14ac:dyDescent="0.25">
      <c r="A42">
        <v>4</v>
      </c>
    </row>
    <row r="43" spans="1:1" x14ac:dyDescent="0.25">
      <c r="A43">
        <v>3</v>
      </c>
    </row>
  </sheetData>
  <sortState xmlns:xlrd2="http://schemas.microsoft.com/office/spreadsheetml/2017/richdata2" ref="J2:K7">
    <sortCondition descending="1" ref="K2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F7D8-F994-430F-8DE8-72D95B7D2E28}">
  <dimension ref="A1:N18"/>
  <sheetViews>
    <sheetView workbookViewId="0">
      <selection activeCell="G20" sqref="G20"/>
    </sheetView>
  </sheetViews>
  <sheetFormatPr defaultRowHeight="15" x14ac:dyDescent="0.25"/>
  <cols>
    <col min="1" max="1" width="13.28515625" customWidth="1"/>
    <col min="2" max="2" width="13.7109375" customWidth="1"/>
    <col min="3" max="3" width="16.42578125" customWidth="1"/>
    <col min="4" max="4" width="15.85546875" customWidth="1"/>
    <col min="5" max="5" width="15.42578125" customWidth="1"/>
    <col min="6" max="6" width="18.7109375" customWidth="1"/>
    <col min="7" max="7" width="12.42578125" customWidth="1"/>
    <col min="8" max="8" width="14.28515625" customWidth="1"/>
    <col min="9" max="9" width="19.28515625" customWidth="1"/>
    <col min="10" max="10" width="13" customWidth="1"/>
    <col min="11" max="11" width="16.85546875" customWidth="1"/>
    <col min="12" max="12" width="13.7109375" customWidth="1"/>
    <col min="13" max="13" width="14" customWidth="1"/>
  </cols>
  <sheetData>
    <row r="1" spans="1:14" x14ac:dyDescent="0.25">
      <c r="A1" s="3" t="s">
        <v>3</v>
      </c>
      <c r="B1" s="3"/>
      <c r="C1" s="3" t="s">
        <v>4</v>
      </c>
      <c r="D1" s="3"/>
      <c r="E1" s="3" t="s">
        <v>5</v>
      </c>
      <c r="F1" s="3"/>
      <c r="G1" s="3" t="s">
        <v>6</v>
      </c>
      <c r="H1" s="3"/>
      <c r="I1" s="3" t="s">
        <v>7</v>
      </c>
      <c r="J1" s="3"/>
      <c r="K1" s="3" t="s">
        <v>8</v>
      </c>
      <c r="L1" s="3"/>
      <c r="M1" s="3" t="s">
        <v>9</v>
      </c>
      <c r="N1" s="3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10</v>
      </c>
      <c r="B3" s="1">
        <v>4.2182603013433537</v>
      </c>
      <c r="C3" s="1" t="s">
        <v>10</v>
      </c>
      <c r="D3" s="1">
        <v>-0.21063582982392023</v>
      </c>
      <c r="E3" s="1" t="s">
        <v>10</v>
      </c>
      <c r="F3" s="1">
        <v>0.5</v>
      </c>
      <c r="G3" s="1" t="s">
        <v>10</v>
      </c>
      <c r="H3" s="1">
        <v>5.0882352941176467</v>
      </c>
      <c r="I3" s="1" t="s">
        <v>10</v>
      </c>
      <c r="J3" s="1">
        <v>7.1764705882352944</v>
      </c>
      <c r="K3" s="1" t="s">
        <v>10</v>
      </c>
      <c r="L3" s="1">
        <v>4.12</v>
      </c>
      <c r="M3" s="1" t="s">
        <v>10</v>
      </c>
      <c r="N3" s="1">
        <v>3.8235294117647061</v>
      </c>
    </row>
    <row r="4" spans="1:14" x14ac:dyDescent="0.25">
      <c r="A4" s="1" t="s">
        <v>11</v>
      </c>
      <c r="B4" s="1">
        <v>0.31349146417680196</v>
      </c>
      <c r="C4" s="1" t="s">
        <v>11</v>
      </c>
      <c r="D4" s="1">
        <v>1.1285239751380483</v>
      </c>
      <c r="E4" s="1" t="s">
        <v>11</v>
      </c>
      <c r="F4" s="1">
        <v>8.7038827977848912E-2</v>
      </c>
      <c r="G4" s="1" t="s">
        <v>11</v>
      </c>
      <c r="H4" s="1">
        <v>0.2438829058433756</v>
      </c>
      <c r="I4" s="1" t="s">
        <v>11</v>
      </c>
      <c r="J4" s="1">
        <v>0.4804012513235697</v>
      </c>
      <c r="K4" s="1" t="s">
        <v>11</v>
      </c>
      <c r="L4" s="1">
        <v>0.45082380733847416</v>
      </c>
      <c r="M4" s="1" t="s">
        <v>11</v>
      </c>
      <c r="N4" s="1">
        <v>0.32006736210358394</v>
      </c>
    </row>
    <row r="5" spans="1:14" x14ac:dyDescent="0.25">
      <c r="A5" s="1" t="s">
        <v>12</v>
      </c>
      <c r="B5" s="1">
        <v>4.8374279000213622</v>
      </c>
      <c r="C5" s="1" t="s">
        <v>12</v>
      </c>
      <c r="D5" s="1">
        <v>-0.63225741087080678</v>
      </c>
      <c r="E5" s="1" t="s">
        <v>12</v>
      </c>
      <c r="F5" s="1">
        <v>0.5</v>
      </c>
      <c r="G5" s="1" t="s">
        <v>12</v>
      </c>
      <c r="H5" s="1">
        <v>5</v>
      </c>
      <c r="I5" s="1" t="s">
        <v>12</v>
      </c>
      <c r="J5" s="1">
        <v>7</v>
      </c>
      <c r="K5" s="1" t="s">
        <v>12</v>
      </c>
      <c r="L5" s="1">
        <v>4.1500000000000004</v>
      </c>
      <c r="M5" s="1" t="s">
        <v>12</v>
      </c>
      <c r="N5" s="1">
        <v>3.5</v>
      </c>
    </row>
    <row r="6" spans="1:14" x14ac:dyDescent="0.25">
      <c r="A6" s="1" t="s">
        <v>13</v>
      </c>
      <c r="B6" s="1" t="e">
        <v>#N/A</v>
      </c>
      <c r="C6" s="1" t="s">
        <v>13</v>
      </c>
      <c r="D6" s="1" t="e">
        <v>#N/A</v>
      </c>
      <c r="E6" s="1" t="s">
        <v>13</v>
      </c>
      <c r="F6" s="1">
        <v>1</v>
      </c>
      <c r="G6" s="1" t="s">
        <v>13</v>
      </c>
      <c r="H6" s="1">
        <v>5</v>
      </c>
      <c r="I6" s="1" t="s">
        <v>13</v>
      </c>
      <c r="J6" s="1">
        <v>7</v>
      </c>
      <c r="K6" s="1" t="s">
        <v>13</v>
      </c>
      <c r="L6" s="1">
        <v>1</v>
      </c>
      <c r="M6" s="1" t="s">
        <v>13</v>
      </c>
      <c r="N6" s="1">
        <v>3</v>
      </c>
    </row>
    <row r="7" spans="1:14" x14ac:dyDescent="0.25">
      <c r="A7" s="1" t="s">
        <v>14</v>
      </c>
      <c r="B7" s="1">
        <v>1.8279536470595512</v>
      </c>
      <c r="C7" s="1" t="s">
        <v>14</v>
      </c>
      <c r="D7" s="1">
        <v>6.5803690112095534</v>
      </c>
      <c r="E7" s="1" t="s">
        <v>14</v>
      </c>
      <c r="F7" s="1">
        <v>0.50751921892255225</v>
      </c>
      <c r="G7" s="1" t="s">
        <v>14</v>
      </c>
      <c r="H7" s="1">
        <v>1.422069491947809</v>
      </c>
      <c r="I7" s="1" t="s">
        <v>14</v>
      </c>
      <c r="J7" s="1">
        <v>2.8011965866912223</v>
      </c>
      <c r="K7" s="1" t="s">
        <v>14</v>
      </c>
      <c r="L7" s="1">
        <v>2.0161453581681936</v>
      </c>
      <c r="M7" s="1" t="s">
        <v>14</v>
      </c>
      <c r="N7" s="1">
        <v>1.8662973915360297</v>
      </c>
    </row>
    <row r="8" spans="1:14" x14ac:dyDescent="0.25">
      <c r="A8" s="1" t="s">
        <v>15</v>
      </c>
      <c r="B8" s="1">
        <v>3.3414145357983145</v>
      </c>
      <c r="C8" s="1" t="s">
        <v>15</v>
      </c>
      <c r="D8" s="1">
        <v>43.301256323686992</v>
      </c>
      <c r="E8" s="1" t="s">
        <v>15</v>
      </c>
      <c r="F8" s="1">
        <v>0.25757575757575757</v>
      </c>
      <c r="G8" s="1" t="s">
        <v>15</v>
      </c>
      <c r="H8" s="1">
        <v>2.0222816399286994</v>
      </c>
      <c r="I8" s="1" t="s">
        <v>15</v>
      </c>
      <c r="J8" s="1">
        <v>7.8467023172905543</v>
      </c>
      <c r="K8" s="1" t="s">
        <v>15</v>
      </c>
      <c r="L8" s="1">
        <v>4.0648421052631534</v>
      </c>
      <c r="M8" s="1" t="s">
        <v>15</v>
      </c>
      <c r="N8" s="1">
        <v>3.4830659536541888</v>
      </c>
    </row>
    <row r="9" spans="1:14" x14ac:dyDescent="0.25">
      <c r="A9" s="1" t="s">
        <v>16</v>
      </c>
      <c r="B9" s="1">
        <v>-0.58587315233602677</v>
      </c>
      <c r="C9" s="1" t="s">
        <v>16</v>
      </c>
      <c r="D9" s="1">
        <v>-3.5939055854296686E-2</v>
      </c>
      <c r="E9" s="1" t="s">
        <v>16</v>
      </c>
      <c r="F9" s="1">
        <v>-2.1290322580645151</v>
      </c>
      <c r="G9" s="1" t="s">
        <v>16</v>
      </c>
      <c r="H9" s="1">
        <v>-0.34538407215360145</v>
      </c>
      <c r="I9" s="1" t="s">
        <v>16</v>
      </c>
      <c r="J9" s="1">
        <v>-0.75864464211431404</v>
      </c>
      <c r="K9" s="1" t="s">
        <v>16</v>
      </c>
      <c r="L9" s="1">
        <v>-1.2924484189225987</v>
      </c>
      <c r="M9" s="1" t="s">
        <v>16</v>
      </c>
      <c r="N9" s="1">
        <v>-0.81043642314522613</v>
      </c>
    </row>
    <row r="10" spans="1:14" x14ac:dyDescent="0.25">
      <c r="A10" s="1" t="s">
        <v>17</v>
      </c>
      <c r="B10" s="1">
        <v>-0.67569697594054001</v>
      </c>
      <c r="C10" s="1" t="s">
        <v>17</v>
      </c>
      <c r="D10" s="1">
        <v>-3.1937682771471278E-2</v>
      </c>
      <c r="E10" s="1" t="s">
        <v>17</v>
      </c>
      <c r="F10" s="1">
        <v>7.1491634161468412E-18</v>
      </c>
      <c r="G10" s="1" t="s">
        <v>17</v>
      </c>
      <c r="H10" s="1">
        <v>-0.50032143341598501</v>
      </c>
      <c r="I10" s="1" t="s">
        <v>17</v>
      </c>
      <c r="J10" s="1">
        <v>-7.8035872965511274E-2</v>
      </c>
      <c r="K10" s="1" t="s">
        <v>17</v>
      </c>
      <c r="L10" s="1">
        <v>-6.6091696011986403E-2</v>
      </c>
      <c r="M10" s="1" t="s">
        <v>17</v>
      </c>
      <c r="N10" s="1">
        <v>0.18345126437226997</v>
      </c>
    </row>
    <row r="11" spans="1:14" x14ac:dyDescent="0.25">
      <c r="A11" s="1" t="s">
        <v>18</v>
      </c>
      <c r="B11" s="1">
        <v>6.3178807947019866</v>
      </c>
      <c r="C11" s="1" t="s">
        <v>18</v>
      </c>
      <c r="D11" s="1">
        <v>28.791691875085235</v>
      </c>
      <c r="E11" s="1" t="s">
        <v>18</v>
      </c>
      <c r="F11" s="1">
        <v>1</v>
      </c>
      <c r="G11" s="1" t="s">
        <v>18</v>
      </c>
      <c r="H11" s="1">
        <v>5</v>
      </c>
      <c r="I11" s="1" t="s">
        <v>18</v>
      </c>
      <c r="J11" s="1">
        <v>10</v>
      </c>
      <c r="K11" s="1" t="s">
        <v>18</v>
      </c>
      <c r="L11" s="1">
        <v>6</v>
      </c>
      <c r="M11" s="1" t="s">
        <v>18</v>
      </c>
      <c r="N11" s="1">
        <v>6</v>
      </c>
    </row>
    <row r="12" spans="1:14" x14ac:dyDescent="0.25">
      <c r="A12" s="1" t="s">
        <v>19</v>
      </c>
      <c r="B12" s="1">
        <v>0.52616962187566763</v>
      </c>
      <c r="C12" s="1" t="s">
        <v>19</v>
      </c>
      <c r="D12" s="1">
        <v>-16.273825167445466</v>
      </c>
      <c r="E12" s="1" t="s">
        <v>19</v>
      </c>
      <c r="F12" s="1">
        <v>0</v>
      </c>
      <c r="G12" s="1" t="s">
        <v>19</v>
      </c>
      <c r="H12" s="1">
        <v>2</v>
      </c>
      <c r="I12" s="1" t="s">
        <v>19</v>
      </c>
      <c r="J12" s="1">
        <v>2</v>
      </c>
      <c r="K12" s="1" t="s">
        <v>19</v>
      </c>
      <c r="L12" s="1">
        <v>1</v>
      </c>
      <c r="M12" s="1" t="s">
        <v>19</v>
      </c>
      <c r="N12" s="1">
        <v>1</v>
      </c>
    </row>
    <row r="13" spans="1:14" x14ac:dyDescent="0.25">
      <c r="A13" s="1" t="s">
        <v>20</v>
      </c>
      <c r="B13" s="1">
        <v>6.8440504165776543</v>
      </c>
      <c r="C13" s="1" t="s">
        <v>20</v>
      </c>
      <c r="D13" s="1">
        <v>12.517866707639769</v>
      </c>
      <c r="E13" s="1" t="s">
        <v>20</v>
      </c>
      <c r="F13" s="1">
        <v>1</v>
      </c>
      <c r="G13" s="1" t="s">
        <v>20</v>
      </c>
      <c r="H13" s="1">
        <v>7</v>
      </c>
      <c r="I13" s="1" t="s">
        <v>20</v>
      </c>
      <c r="J13" s="1">
        <v>12</v>
      </c>
      <c r="K13" s="1" t="s">
        <v>20</v>
      </c>
      <c r="L13" s="1">
        <v>7</v>
      </c>
      <c r="M13" s="1" t="s">
        <v>20</v>
      </c>
      <c r="N13" s="1">
        <v>7</v>
      </c>
    </row>
    <row r="14" spans="1:14" x14ac:dyDescent="0.25">
      <c r="A14" s="1" t="s">
        <v>21</v>
      </c>
      <c r="B14" s="1">
        <v>143.42085024567402</v>
      </c>
      <c r="C14" s="1" t="s">
        <v>21</v>
      </c>
      <c r="D14" s="1">
        <v>-7.1616182140132878</v>
      </c>
      <c r="E14" s="1" t="s">
        <v>21</v>
      </c>
      <c r="F14" s="1">
        <v>17</v>
      </c>
      <c r="G14" s="1" t="s">
        <v>21</v>
      </c>
      <c r="H14" s="1">
        <v>173</v>
      </c>
      <c r="I14" s="1" t="s">
        <v>21</v>
      </c>
      <c r="J14" s="1">
        <v>244</v>
      </c>
      <c r="K14" s="1" t="s">
        <v>21</v>
      </c>
      <c r="L14" s="1">
        <v>82.4</v>
      </c>
      <c r="M14" s="1" t="s">
        <v>21</v>
      </c>
      <c r="N14" s="1">
        <v>130</v>
      </c>
    </row>
    <row r="15" spans="1:14" x14ac:dyDescent="0.25">
      <c r="A15" s="1" t="s">
        <v>22</v>
      </c>
      <c r="B15" s="1">
        <v>34</v>
      </c>
      <c r="C15" s="1" t="s">
        <v>22</v>
      </c>
      <c r="D15" s="1">
        <v>34</v>
      </c>
      <c r="E15" s="1" t="s">
        <v>22</v>
      </c>
      <c r="F15" s="1">
        <v>34</v>
      </c>
      <c r="G15" s="1" t="s">
        <v>22</v>
      </c>
      <c r="H15" s="1">
        <v>34</v>
      </c>
      <c r="I15" s="1" t="s">
        <v>22</v>
      </c>
      <c r="J15" s="1">
        <v>34</v>
      </c>
      <c r="K15" s="1" t="s">
        <v>22</v>
      </c>
      <c r="L15" s="1">
        <v>20</v>
      </c>
      <c r="M15" s="1" t="s">
        <v>22</v>
      </c>
      <c r="N15" s="1">
        <v>34</v>
      </c>
    </row>
    <row r="16" spans="1:14" x14ac:dyDescent="0.25">
      <c r="A16" s="1" t="s">
        <v>23</v>
      </c>
      <c r="B16" s="1">
        <v>6.8440504165776543</v>
      </c>
      <c r="C16" s="1" t="s">
        <v>23</v>
      </c>
      <c r="D16" s="1">
        <v>12.517866707639769</v>
      </c>
      <c r="E16" s="1" t="s">
        <v>23</v>
      </c>
      <c r="F16" s="1">
        <v>1</v>
      </c>
      <c r="G16" s="1" t="s">
        <v>23</v>
      </c>
      <c r="H16" s="1">
        <v>7</v>
      </c>
      <c r="I16" s="1" t="s">
        <v>23</v>
      </c>
      <c r="J16" s="1">
        <v>12</v>
      </c>
      <c r="K16" s="1" t="s">
        <v>23</v>
      </c>
      <c r="L16" s="1">
        <v>7</v>
      </c>
      <c r="M16" s="1" t="s">
        <v>23</v>
      </c>
      <c r="N16" s="1">
        <v>7</v>
      </c>
    </row>
    <row r="17" spans="1:14" x14ac:dyDescent="0.25">
      <c r="A17" s="1" t="s">
        <v>24</v>
      </c>
      <c r="B17" s="1">
        <v>0.52616962187566763</v>
      </c>
      <c r="C17" s="1" t="s">
        <v>24</v>
      </c>
      <c r="D17" s="1">
        <v>-16.273825167445466</v>
      </c>
      <c r="E17" s="1" t="s">
        <v>24</v>
      </c>
      <c r="F17" s="1">
        <v>0</v>
      </c>
      <c r="G17" s="1" t="s">
        <v>24</v>
      </c>
      <c r="H17" s="1">
        <v>2</v>
      </c>
      <c r="I17" s="1" t="s">
        <v>24</v>
      </c>
      <c r="J17" s="1">
        <v>2</v>
      </c>
      <c r="K17" s="1" t="s">
        <v>24</v>
      </c>
      <c r="L17" s="1">
        <v>1</v>
      </c>
      <c r="M17" s="1" t="s">
        <v>24</v>
      </c>
      <c r="N17" s="1">
        <v>1</v>
      </c>
    </row>
    <row r="18" spans="1:14" ht="15.75" thickBot="1" x14ac:dyDescent="0.3">
      <c r="A18" s="2" t="s">
        <v>25</v>
      </c>
      <c r="B18" s="2">
        <v>0.63780317948749465</v>
      </c>
      <c r="C18" s="2" t="s">
        <v>25</v>
      </c>
      <c r="D18" s="2">
        <v>2.2959992909566953</v>
      </c>
      <c r="E18" s="2" t="s">
        <v>25</v>
      </c>
      <c r="F18" s="2">
        <v>0.17708182699299505</v>
      </c>
      <c r="G18" s="2" t="s">
        <v>25</v>
      </c>
      <c r="H18" s="2">
        <v>0.49618350272474421</v>
      </c>
      <c r="I18" s="2" t="s">
        <v>25</v>
      </c>
      <c r="J18" s="2">
        <v>0.97738369473160658</v>
      </c>
      <c r="K18" s="2" t="s">
        <v>25</v>
      </c>
      <c r="L18" s="2">
        <v>0.94358507305936345</v>
      </c>
      <c r="M18" s="2" t="s">
        <v>25</v>
      </c>
      <c r="N18" s="2">
        <v>0.65118194441399802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10A2-6151-4B8E-BC48-817B01811E28}">
  <dimension ref="A1:N5"/>
  <sheetViews>
    <sheetView workbookViewId="0">
      <selection activeCell="G10" sqref="G10"/>
    </sheetView>
  </sheetViews>
  <sheetFormatPr defaultRowHeight="15" x14ac:dyDescent="0.25"/>
  <cols>
    <col min="1" max="1" width="24.5703125" customWidth="1"/>
    <col min="2" max="2" width="15.7109375" customWidth="1"/>
    <col min="3" max="3" width="25.28515625" customWidth="1"/>
    <col min="4" max="4" width="15.85546875" customWidth="1"/>
    <col min="5" max="5" width="19.42578125" customWidth="1"/>
    <col min="6" max="6" width="19.5703125" customWidth="1"/>
    <col min="7" max="7" width="16.85546875" customWidth="1"/>
    <col min="8" max="8" width="14.140625" customWidth="1"/>
    <col min="9" max="9" width="14.5703125" customWidth="1"/>
    <col min="10" max="10" width="17.85546875" customWidth="1"/>
    <col min="11" max="11" width="14.85546875" customWidth="1"/>
    <col min="12" max="12" width="11.85546875" customWidth="1"/>
    <col min="13" max="13" width="16" customWidth="1"/>
  </cols>
  <sheetData>
    <row r="1" spans="1:14" x14ac:dyDescent="0.25">
      <c r="A1" s="3" t="s">
        <v>3</v>
      </c>
      <c r="B1" s="3"/>
      <c r="C1" s="3" t="s">
        <v>4</v>
      </c>
      <c r="D1" s="3"/>
      <c r="E1" s="3" t="s">
        <v>5</v>
      </c>
      <c r="F1" s="3"/>
      <c r="G1" s="3" t="s">
        <v>6</v>
      </c>
      <c r="H1" s="3"/>
      <c r="I1" s="3" t="s">
        <v>7</v>
      </c>
      <c r="J1" s="3"/>
      <c r="K1" s="3" t="s">
        <v>8</v>
      </c>
      <c r="L1" s="3"/>
      <c r="M1" s="3" t="s">
        <v>9</v>
      </c>
      <c r="N1" s="3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23</v>
      </c>
      <c r="B3" s="1">
        <v>6.8440504165776543</v>
      </c>
      <c r="C3" s="1" t="s">
        <v>23</v>
      </c>
      <c r="D3" s="1">
        <v>12.517866707639769</v>
      </c>
      <c r="E3" s="1" t="s">
        <v>23</v>
      </c>
      <c r="F3" s="1">
        <v>1</v>
      </c>
      <c r="G3" s="1" t="s">
        <v>23</v>
      </c>
      <c r="H3" s="1">
        <v>7</v>
      </c>
      <c r="I3" s="1" t="s">
        <v>23</v>
      </c>
      <c r="J3" s="1">
        <v>12</v>
      </c>
      <c r="K3" s="1" t="s">
        <v>23</v>
      </c>
      <c r="L3" s="1">
        <v>7</v>
      </c>
      <c r="M3" s="1" t="s">
        <v>23</v>
      </c>
      <c r="N3" s="1">
        <v>7</v>
      </c>
    </row>
    <row r="4" spans="1:14" x14ac:dyDescent="0.25">
      <c r="A4" s="1" t="s">
        <v>24</v>
      </c>
      <c r="B4" s="1">
        <v>0.52616962187566763</v>
      </c>
      <c r="C4" s="1" t="s">
        <v>24</v>
      </c>
      <c r="D4" s="1">
        <v>-16.273825167445466</v>
      </c>
      <c r="E4" s="1" t="s">
        <v>24</v>
      </c>
      <c r="F4" s="1">
        <v>0</v>
      </c>
      <c r="G4" s="1" t="s">
        <v>24</v>
      </c>
      <c r="H4" s="1">
        <v>2</v>
      </c>
      <c r="I4" s="1" t="s">
        <v>24</v>
      </c>
      <c r="J4" s="1">
        <v>2</v>
      </c>
      <c r="K4" s="1" t="s">
        <v>24</v>
      </c>
      <c r="L4" s="1">
        <v>1</v>
      </c>
      <c r="M4" s="1" t="s">
        <v>24</v>
      </c>
      <c r="N4" s="1">
        <v>1</v>
      </c>
    </row>
    <row r="5" spans="1:14" ht="15.75" thickBot="1" x14ac:dyDescent="0.3">
      <c r="A5" s="2" t="s">
        <v>25</v>
      </c>
      <c r="B5" s="2">
        <v>0.63780317948749465</v>
      </c>
      <c r="C5" s="2" t="s">
        <v>25</v>
      </c>
      <c r="D5" s="2">
        <v>2.2959992909566953</v>
      </c>
      <c r="E5" s="2" t="s">
        <v>25</v>
      </c>
      <c r="F5" s="2">
        <v>0.17708182699299505</v>
      </c>
      <c r="G5" s="2" t="s">
        <v>25</v>
      </c>
      <c r="H5" s="2">
        <v>0.49618350272474421</v>
      </c>
      <c r="I5" s="2" t="s">
        <v>25</v>
      </c>
      <c r="J5" s="2">
        <v>0.97738369473160658</v>
      </c>
      <c r="K5" s="2" t="s">
        <v>25</v>
      </c>
      <c r="L5" s="2">
        <v>0.94358507305936345</v>
      </c>
      <c r="M5" s="2" t="s">
        <v>25</v>
      </c>
      <c r="N5" s="2">
        <v>0.65118194441399802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374E-F999-46DB-9249-CF6690CEBE7B}">
  <dimension ref="A1:G50"/>
  <sheetViews>
    <sheetView topLeftCell="B1" workbookViewId="0">
      <selection activeCell="B1" sqref="B1:G35"/>
    </sheetView>
  </sheetViews>
  <sheetFormatPr defaultRowHeight="15" x14ac:dyDescent="0.25"/>
  <cols>
    <col min="1" max="1" width="24.5703125" customWidth="1"/>
    <col min="2" max="2" width="22.85546875" customWidth="1"/>
    <col min="3" max="3" width="24.7109375" customWidth="1"/>
    <col min="4" max="4" width="26.7109375" customWidth="1"/>
    <col min="5" max="5" width="26.85546875" customWidth="1"/>
    <col min="6" max="6" width="13" customWidth="1"/>
    <col min="7" max="7" width="12.28515625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6.8440504165776543</v>
      </c>
      <c r="B2">
        <v>-0.53896883400739171</v>
      </c>
      <c r="C2">
        <v>1</v>
      </c>
      <c r="D2">
        <v>3</v>
      </c>
      <c r="E2">
        <v>11</v>
      </c>
      <c r="F2">
        <v>1</v>
      </c>
      <c r="G2">
        <v>4</v>
      </c>
    </row>
    <row r="3" spans="1:7" x14ac:dyDescent="0.25">
      <c r="A3">
        <v>3.1098055970946379</v>
      </c>
      <c r="B3">
        <v>-8.3763870861730538</v>
      </c>
      <c r="C3">
        <v>0</v>
      </c>
      <c r="D3">
        <v>4</v>
      </c>
      <c r="E3">
        <v>10</v>
      </c>
      <c r="F3">
        <v>1.7</v>
      </c>
      <c r="G3">
        <v>5</v>
      </c>
    </row>
    <row r="4" spans="1:7" x14ac:dyDescent="0.25">
      <c r="A4">
        <v>3.4823755607776117</v>
      </c>
      <c r="B4">
        <v>-2.8742908853018889</v>
      </c>
      <c r="C4">
        <v>0</v>
      </c>
      <c r="D4">
        <v>3</v>
      </c>
      <c r="E4">
        <v>10</v>
      </c>
      <c r="F4">
        <v>2.4</v>
      </c>
      <c r="G4">
        <v>6</v>
      </c>
    </row>
    <row r="5" spans="1:7" x14ac:dyDescent="0.25">
      <c r="A5">
        <v>5.3007904293954287</v>
      </c>
      <c r="B5">
        <v>-1.9235869785916293</v>
      </c>
      <c r="C5">
        <v>1</v>
      </c>
      <c r="D5">
        <v>3</v>
      </c>
      <c r="E5">
        <v>11</v>
      </c>
      <c r="F5">
        <v>3.0999999999999996</v>
      </c>
      <c r="G5">
        <v>3</v>
      </c>
    </row>
    <row r="6" spans="1:7" x14ac:dyDescent="0.25">
      <c r="A6">
        <v>4.16940824610126</v>
      </c>
      <c r="B6">
        <v>-16.273825167445466</v>
      </c>
      <c r="C6">
        <v>0</v>
      </c>
      <c r="D6">
        <v>7</v>
      </c>
      <c r="E6">
        <v>10</v>
      </c>
      <c r="F6">
        <v>3.8</v>
      </c>
      <c r="G6">
        <v>7</v>
      </c>
    </row>
    <row r="7" spans="1:7" x14ac:dyDescent="0.25">
      <c r="A7">
        <v>3.318521683400983</v>
      </c>
      <c r="B7">
        <v>-4.3655950321408454</v>
      </c>
      <c r="C7">
        <v>1</v>
      </c>
      <c r="D7">
        <v>5</v>
      </c>
      <c r="E7">
        <v>5</v>
      </c>
      <c r="F7">
        <v>4.5</v>
      </c>
      <c r="G7">
        <v>3</v>
      </c>
    </row>
    <row r="8" spans="1:7" x14ac:dyDescent="0.25">
      <c r="A8">
        <v>0.54518265327921389</v>
      </c>
      <c r="B8">
        <v>6.3443553699471522</v>
      </c>
      <c r="C8">
        <v>0</v>
      </c>
      <c r="D8">
        <v>4</v>
      </c>
      <c r="E8">
        <v>7</v>
      </c>
      <c r="F8">
        <v>5.2</v>
      </c>
      <c r="G8">
        <v>5</v>
      </c>
    </row>
    <row r="9" spans="1:7" x14ac:dyDescent="0.25">
      <c r="A9">
        <v>5.7402264473403122</v>
      </c>
      <c r="B9">
        <v>-3.9798828765924554</v>
      </c>
      <c r="C9">
        <v>1</v>
      </c>
      <c r="D9">
        <v>7</v>
      </c>
      <c r="E9">
        <v>11</v>
      </c>
      <c r="F9">
        <v>5.9</v>
      </c>
      <c r="G9">
        <v>1</v>
      </c>
    </row>
    <row r="10" spans="1:7" x14ac:dyDescent="0.25">
      <c r="A10">
        <v>4.7412945951719712</v>
      </c>
      <c r="B10">
        <v>-6.7150267568649724</v>
      </c>
      <c r="C10">
        <v>1</v>
      </c>
      <c r="D10">
        <v>5</v>
      </c>
      <c r="E10">
        <v>3</v>
      </c>
      <c r="F10">
        <v>6.6000000000000005</v>
      </c>
      <c r="G10">
        <v>1</v>
      </c>
    </row>
    <row r="11" spans="1:7" x14ac:dyDescent="0.25">
      <c r="A11">
        <v>4.6915189062166203</v>
      </c>
      <c r="B11">
        <v>-6.0698494053212926</v>
      </c>
      <c r="C11">
        <v>0</v>
      </c>
      <c r="D11">
        <v>6</v>
      </c>
      <c r="E11">
        <v>9</v>
      </c>
      <c r="F11">
        <v>7</v>
      </c>
      <c r="G11">
        <v>3</v>
      </c>
    </row>
    <row r="12" spans="1:7" x14ac:dyDescent="0.25">
      <c r="A12">
        <v>5.0292672505874814</v>
      </c>
      <c r="B12">
        <v>6.943423613847699</v>
      </c>
      <c r="C12">
        <v>0</v>
      </c>
      <c r="D12">
        <v>5</v>
      </c>
      <c r="E12">
        <v>6</v>
      </c>
      <c r="F12">
        <v>1</v>
      </c>
      <c r="G12">
        <v>7</v>
      </c>
    </row>
    <row r="13" spans="1:7" x14ac:dyDescent="0.25">
      <c r="A13">
        <v>1.6393932920316172</v>
      </c>
      <c r="B13">
        <v>4.0943439216789557</v>
      </c>
      <c r="C13">
        <v>1</v>
      </c>
      <c r="D13">
        <v>7</v>
      </c>
      <c r="E13">
        <v>5</v>
      </c>
      <c r="F13">
        <v>1.7</v>
      </c>
      <c r="G13">
        <v>1</v>
      </c>
    </row>
    <row r="14" spans="1:7" x14ac:dyDescent="0.25">
      <c r="A14">
        <v>5.3749198889126255</v>
      </c>
      <c r="B14">
        <v>12.517866707639769</v>
      </c>
      <c r="C14">
        <v>1</v>
      </c>
      <c r="D14">
        <v>6</v>
      </c>
      <c r="E14">
        <v>3</v>
      </c>
      <c r="F14">
        <v>2.4</v>
      </c>
      <c r="G14">
        <v>6</v>
      </c>
    </row>
    <row r="15" spans="1:7" x14ac:dyDescent="0.25">
      <c r="A15">
        <v>3.0115359965819266</v>
      </c>
      <c r="B15">
        <v>1.0938856576103717</v>
      </c>
      <c r="C15">
        <v>1</v>
      </c>
      <c r="D15">
        <v>6</v>
      </c>
      <c r="E15">
        <v>7</v>
      </c>
      <c r="F15">
        <v>3.0999999999999996</v>
      </c>
      <c r="G15">
        <v>3</v>
      </c>
    </row>
    <row r="16" spans="1:7" x14ac:dyDescent="0.25">
      <c r="A16">
        <v>5.6150395214697708</v>
      </c>
      <c r="B16">
        <v>-2.5876647669065278</v>
      </c>
      <c r="C16">
        <v>0</v>
      </c>
      <c r="D16">
        <v>5</v>
      </c>
      <c r="E16">
        <v>7</v>
      </c>
      <c r="F16">
        <v>3.8</v>
      </c>
      <c r="G16">
        <v>4</v>
      </c>
    </row>
    <row r="17" spans="1:7" x14ac:dyDescent="0.25">
      <c r="A17">
        <v>5.1095919675283064</v>
      </c>
      <c r="B17">
        <v>-0.72554598773422185</v>
      </c>
      <c r="C17">
        <v>0</v>
      </c>
      <c r="D17">
        <v>4</v>
      </c>
      <c r="E17">
        <v>5</v>
      </c>
      <c r="F17">
        <v>4.5</v>
      </c>
      <c r="G17">
        <v>5</v>
      </c>
    </row>
    <row r="18" spans="1:7" x14ac:dyDescent="0.25">
      <c r="A18">
        <v>6.4755394146549881</v>
      </c>
      <c r="B18">
        <v>-2.9906300369475503</v>
      </c>
      <c r="C18">
        <v>1</v>
      </c>
      <c r="D18">
        <v>7</v>
      </c>
      <c r="E18">
        <v>12</v>
      </c>
      <c r="F18">
        <v>5.2</v>
      </c>
      <c r="G18">
        <v>7</v>
      </c>
    </row>
    <row r="19" spans="1:7" x14ac:dyDescent="0.25">
      <c r="A19">
        <v>5.2869045075838494</v>
      </c>
      <c r="B19">
        <v>5.7239276429754682</v>
      </c>
      <c r="C19">
        <v>0</v>
      </c>
      <c r="D19">
        <v>5</v>
      </c>
      <c r="E19">
        <v>9</v>
      </c>
      <c r="F19">
        <v>5.9</v>
      </c>
      <c r="G19">
        <v>3</v>
      </c>
    </row>
    <row r="20" spans="1:7" x14ac:dyDescent="0.25">
      <c r="A20">
        <v>1.1499679555650502</v>
      </c>
      <c r="B20">
        <v>3.4200400023109978</v>
      </c>
      <c r="C20">
        <v>1</v>
      </c>
      <c r="D20">
        <v>5</v>
      </c>
      <c r="E20">
        <v>2</v>
      </c>
      <c r="F20">
        <v>6.6000000000000005</v>
      </c>
      <c r="G20">
        <v>3</v>
      </c>
    </row>
    <row r="21" spans="1:7" x14ac:dyDescent="0.25">
      <c r="A21">
        <v>2.8594317453535569</v>
      </c>
      <c r="B21">
        <v>1.7506579297332792</v>
      </c>
      <c r="C21">
        <v>1</v>
      </c>
      <c r="D21">
        <v>7</v>
      </c>
      <c r="E21">
        <v>8</v>
      </c>
      <c r="F21">
        <v>7</v>
      </c>
      <c r="G21">
        <v>2</v>
      </c>
    </row>
    <row r="22" spans="1:7" x14ac:dyDescent="0.25">
      <c r="A22">
        <v>2.6590472121341593</v>
      </c>
      <c r="B22">
        <v>11.434676707722247</v>
      </c>
      <c r="C22">
        <v>1</v>
      </c>
      <c r="D22">
        <v>5</v>
      </c>
      <c r="E22">
        <v>4</v>
      </c>
      <c r="G22">
        <v>4</v>
      </c>
    </row>
    <row r="23" spans="1:7" x14ac:dyDescent="0.25">
      <c r="A23">
        <v>5.7160863063447982</v>
      </c>
      <c r="B23">
        <v>-1.9480739865684882</v>
      </c>
      <c r="C23">
        <v>0</v>
      </c>
      <c r="D23">
        <v>4</v>
      </c>
      <c r="E23">
        <v>2</v>
      </c>
      <c r="G23">
        <v>7</v>
      </c>
    </row>
    <row r="24" spans="1:7" x14ac:dyDescent="0.25">
      <c r="A24">
        <v>5.7058320871608634</v>
      </c>
      <c r="B24">
        <v>2.4875919280020753</v>
      </c>
      <c r="C24">
        <v>1</v>
      </c>
      <c r="D24">
        <v>2</v>
      </c>
      <c r="E24">
        <v>7</v>
      </c>
      <c r="G24">
        <v>3</v>
      </c>
    </row>
    <row r="25" spans="1:7" x14ac:dyDescent="0.25">
      <c r="A25">
        <v>6.0995513779107027</v>
      </c>
      <c r="B25">
        <v>4.1983639675891027</v>
      </c>
      <c r="C25">
        <v>1</v>
      </c>
      <c r="D25">
        <v>6</v>
      </c>
      <c r="E25">
        <v>8</v>
      </c>
      <c r="G25">
        <v>2</v>
      </c>
    </row>
    <row r="26" spans="1:7" x14ac:dyDescent="0.25">
      <c r="A26">
        <v>2.2488784447767571</v>
      </c>
      <c r="B26">
        <v>2.1616369849652983</v>
      </c>
      <c r="C26">
        <v>0</v>
      </c>
      <c r="D26">
        <v>7</v>
      </c>
      <c r="E26">
        <v>9</v>
      </c>
      <c r="G26">
        <v>1</v>
      </c>
    </row>
    <row r="27" spans="1:7" x14ac:dyDescent="0.25">
      <c r="A27">
        <v>4.5274513992736596</v>
      </c>
      <c r="B27">
        <v>8.9401532932242844</v>
      </c>
      <c r="C27">
        <v>0</v>
      </c>
      <c r="D27">
        <v>6</v>
      </c>
      <c r="E27">
        <v>8</v>
      </c>
      <c r="G27">
        <v>3</v>
      </c>
    </row>
    <row r="28" spans="1:7" x14ac:dyDescent="0.25">
      <c r="A28">
        <v>5.5118564409314255</v>
      </c>
      <c r="B28">
        <v>-5.0158973863290157</v>
      </c>
      <c r="C28">
        <v>0</v>
      </c>
      <c r="D28">
        <v>5</v>
      </c>
      <c r="E28">
        <v>12</v>
      </c>
      <c r="G28">
        <v>5</v>
      </c>
    </row>
    <row r="29" spans="1:7" x14ac:dyDescent="0.25">
      <c r="A29">
        <v>3.317880794701987</v>
      </c>
      <c r="B29">
        <v>3.2514719805476489</v>
      </c>
      <c r="C29">
        <v>0</v>
      </c>
      <c r="D29">
        <v>4</v>
      </c>
      <c r="E29">
        <v>8</v>
      </c>
      <c r="G29">
        <v>3</v>
      </c>
    </row>
    <row r="30" spans="1:7" x14ac:dyDescent="0.25">
      <c r="A30">
        <v>5.645802179021576</v>
      </c>
      <c r="B30">
        <v>-2.3528696146968286</v>
      </c>
      <c r="C30">
        <v>0</v>
      </c>
      <c r="D30">
        <v>6</v>
      </c>
      <c r="E30">
        <v>7</v>
      </c>
      <c r="G30">
        <v>6</v>
      </c>
    </row>
    <row r="31" spans="1:7" x14ac:dyDescent="0.25">
      <c r="A31">
        <v>6.6947233497115999</v>
      </c>
      <c r="B31">
        <v>-0.19467051970423199</v>
      </c>
      <c r="C31">
        <v>0</v>
      </c>
      <c r="D31">
        <v>6</v>
      </c>
      <c r="E31">
        <v>5</v>
      </c>
      <c r="G31">
        <v>1</v>
      </c>
    </row>
    <row r="32" spans="1:7" x14ac:dyDescent="0.25">
      <c r="A32">
        <v>0.76458021790215769</v>
      </c>
      <c r="B32">
        <v>-9.2234131443547085</v>
      </c>
      <c r="C32">
        <v>1</v>
      </c>
      <c r="D32">
        <v>5</v>
      </c>
      <c r="E32">
        <v>6</v>
      </c>
      <c r="G32">
        <v>3</v>
      </c>
    </row>
    <row r="33" spans="1:7" x14ac:dyDescent="0.25">
      <c r="A33">
        <v>4.9335612048707542</v>
      </c>
      <c r="B33">
        <v>11.29856173065491</v>
      </c>
      <c r="C33">
        <v>0</v>
      </c>
      <c r="D33">
        <v>5</v>
      </c>
      <c r="E33">
        <v>7</v>
      </c>
      <c r="G33">
        <v>4</v>
      </c>
    </row>
    <row r="34" spans="1:7" x14ac:dyDescent="0.25">
      <c r="A34">
        <v>5.5746635334330268</v>
      </c>
      <c r="B34">
        <v>-9.6887379186227918</v>
      </c>
      <c r="C34">
        <v>1</v>
      </c>
      <c r="D34">
        <v>2</v>
      </c>
      <c r="E34">
        <v>6</v>
      </c>
      <c r="G34">
        <v>5</v>
      </c>
    </row>
    <row r="35" spans="1:7" x14ac:dyDescent="0.25">
      <c r="A35">
        <v>0.52616962187566763</v>
      </c>
      <c r="B35">
        <v>-6.9776592681591865</v>
      </c>
      <c r="C35">
        <v>1</v>
      </c>
      <c r="D35">
        <v>6</v>
      </c>
      <c r="E35">
        <v>4</v>
      </c>
      <c r="G35">
        <v>4</v>
      </c>
    </row>
    <row r="43" spans="1:7" x14ac:dyDescent="0.25">
      <c r="A43" t="s">
        <v>0</v>
      </c>
      <c r="B43" t="s">
        <v>1</v>
      </c>
    </row>
    <row r="44" spans="1:7" x14ac:dyDescent="0.25">
      <c r="A44">
        <v>1</v>
      </c>
      <c r="B44">
        <v>0.1</v>
      </c>
    </row>
    <row r="45" spans="1:7" x14ac:dyDescent="0.25">
      <c r="A45">
        <v>2</v>
      </c>
      <c r="B45">
        <v>0.1</v>
      </c>
    </row>
    <row r="46" spans="1:7" x14ac:dyDescent="0.25">
      <c r="A46">
        <v>3</v>
      </c>
      <c r="B46">
        <v>0.2</v>
      </c>
    </row>
    <row r="47" spans="1:7" x14ac:dyDescent="0.25">
      <c r="A47">
        <v>4</v>
      </c>
      <c r="B47">
        <v>0.2</v>
      </c>
    </row>
    <row r="48" spans="1:7" x14ac:dyDescent="0.25">
      <c r="A48">
        <v>5</v>
      </c>
      <c r="B48">
        <v>0.2</v>
      </c>
    </row>
    <row r="49" spans="1:2" x14ac:dyDescent="0.25">
      <c r="A49">
        <v>6</v>
      </c>
      <c r="B49">
        <v>0.1</v>
      </c>
    </row>
    <row r="50" spans="1:2" x14ac:dyDescent="0.25">
      <c r="A50">
        <v>7</v>
      </c>
      <c r="B50">
        <v>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F100-086D-4379-B51F-AAF816FEC8C1}">
  <dimension ref="A1:V60"/>
  <sheetViews>
    <sheetView tabSelected="1" topLeftCell="A25" workbookViewId="0">
      <selection activeCell="H14" sqref="H14"/>
    </sheetView>
  </sheetViews>
  <sheetFormatPr defaultRowHeight="15" x14ac:dyDescent="0.25"/>
  <cols>
    <col min="1" max="1" width="18.140625" customWidth="1"/>
    <col min="2" max="2" width="12.28515625" customWidth="1"/>
    <col min="3" max="3" width="15.140625" customWidth="1"/>
    <col min="4" max="4" width="11.28515625" customWidth="1"/>
    <col min="5" max="5" width="11.85546875" customWidth="1"/>
    <col min="8" max="8" width="18.85546875" customWidth="1"/>
    <col min="17" max="17" width="17" customWidth="1"/>
  </cols>
  <sheetData>
    <row r="1" spans="1:22" x14ac:dyDescent="0.25">
      <c r="A1" t="s">
        <v>4</v>
      </c>
      <c r="C1" s="3" t="s">
        <v>34</v>
      </c>
      <c r="D1" s="3" t="s">
        <v>35</v>
      </c>
      <c r="E1" s="3" t="s">
        <v>36</v>
      </c>
      <c r="F1" s="3" t="s">
        <v>37</v>
      </c>
      <c r="H1" t="s">
        <v>7</v>
      </c>
      <c r="J1" s="3" t="s">
        <v>34</v>
      </c>
      <c r="K1" s="3" t="s">
        <v>35</v>
      </c>
      <c r="L1" s="3" t="s">
        <v>36</v>
      </c>
      <c r="M1" s="3" t="s">
        <v>37</v>
      </c>
      <c r="Q1" t="s">
        <v>5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0.22306494429358281</v>
      </c>
      <c r="C2" s="1">
        <v>28</v>
      </c>
      <c r="D2" s="7">
        <v>18.425052985548973</v>
      </c>
      <c r="E2" s="1">
        <v>1</v>
      </c>
      <c r="F2" s="6">
        <v>1</v>
      </c>
      <c r="H2">
        <v>12</v>
      </c>
      <c r="J2" s="1">
        <v>52</v>
      </c>
      <c r="K2" s="7">
        <v>13</v>
      </c>
      <c r="L2" s="1">
        <v>1</v>
      </c>
      <c r="M2" s="6">
        <v>1</v>
      </c>
      <c r="Q2">
        <v>1</v>
      </c>
      <c r="S2">
        <v>1</v>
      </c>
      <c r="T2" s="5">
        <v>1</v>
      </c>
      <c r="U2">
        <v>1</v>
      </c>
      <c r="V2" s="4">
        <v>0.189</v>
      </c>
    </row>
    <row r="3" spans="1:22" x14ac:dyDescent="0.25">
      <c r="A3">
        <v>12.735822565446142</v>
      </c>
      <c r="C3" s="1">
        <v>12</v>
      </c>
      <c r="D3" s="7">
        <v>14.985762391006574</v>
      </c>
      <c r="E3" s="1">
        <v>2</v>
      </c>
      <c r="F3" s="6">
        <v>0.98199999999999998</v>
      </c>
      <c r="H3">
        <v>5</v>
      </c>
      <c r="J3" s="1">
        <v>1</v>
      </c>
      <c r="K3" s="7">
        <v>12</v>
      </c>
      <c r="L3" s="1">
        <v>2</v>
      </c>
      <c r="M3" s="6">
        <v>0.98199999999999998</v>
      </c>
      <c r="Q3">
        <v>1</v>
      </c>
      <c r="S3">
        <v>2</v>
      </c>
      <c r="T3" s="5">
        <v>1</v>
      </c>
      <c r="U3">
        <v>1</v>
      </c>
      <c r="V3" s="4">
        <v>0.189</v>
      </c>
    </row>
    <row r="4" spans="1:22" x14ac:dyDescent="0.25">
      <c r="A4">
        <v>3.7342965697462205</v>
      </c>
      <c r="C4" s="1">
        <v>16</v>
      </c>
      <c r="D4" s="7">
        <v>12.981790860067122</v>
      </c>
      <c r="E4" s="1">
        <v>3</v>
      </c>
      <c r="F4" s="6">
        <v>0.96499999999999997</v>
      </c>
      <c r="H4">
        <v>6</v>
      </c>
      <c r="J4" s="1">
        <v>18</v>
      </c>
      <c r="K4" s="7">
        <v>11</v>
      </c>
      <c r="L4" s="1">
        <v>3</v>
      </c>
      <c r="M4" s="6">
        <v>0.91300000000000003</v>
      </c>
      <c r="Q4">
        <v>1</v>
      </c>
      <c r="S4">
        <v>3</v>
      </c>
      <c r="T4" s="5">
        <v>1</v>
      </c>
      <c r="U4">
        <v>1</v>
      </c>
      <c r="V4" s="4">
        <v>0.189</v>
      </c>
    </row>
    <row r="5" spans="1:22" x14ac:dyDescent="0.25">
      <c r="A5">
        <v>1.0353858215239597</v>
      </c>
      <c r="C5" s="1">
        <v>2</v>
      </c>
      <c r="D5" s="7">
        <v>12.735822565446142</v>
      </c>
      <c r="E5" s="1">
        <v>4</v>
      </c>
      <c r="F5" s="6">
        <v>0.94799999999999995</v>
      </c>
      <c r="H5">
        <v>5</v>
      </c>
      <c r="J5" s="1">
        <v>24</v>
      </c>
      <c r="K5" s="7">
        <v>11</v>
      </c>
      <c r="L5" s="1">
        <v>3</v>
      </c>
      <c r="M5" s="6">
        <v>0.91300000000000003</v>
      </c>
      <c r="Q5">
        <v>1</v>
      </c>
      <c r="S5">
        <v>4</v>
      </c>
      <c r="T5" s="5">
        <v>1</v>
      </c>
      <c r="U5">
        <v>1</v>
      </c>
      <c r="V5" s="4">
        <v>0.189</v>
      </c>
    </row>
    <row r="6" spans="1:22" x14ac:dyDescent="0.25">
      <c r="A6">
        <v>-5.5045552471710835</v>
      </c>
      <c r="C6" s="1">
        <v>33</v>
      </c>
      <c r="D6" s="7">
        <v>12.151222108514048</v>
      </c>
      <c r="E6" s="1">
        <v>5</v>
      </c>
      <c r="F6" s="6">
        <v>0.93100000000000005</v>
      </c>
      <c r="H6">
        <v>7</v>
      </c>
      <c r="J6" s="1">
        <v>46</v>
      </c>
      <c r="K6" s="7">
        <v>11</v>
      </c>
      <c r="L6" s="1">
        <v>3</v>
      </c>
      <c r="M6" s="6">
        <v>0.91300000000000003</v>
      </c>
      <c r="Q6">
        <v>1</v>
      </c>
      <c r="S6">
        <v>5</v>
      </c>
      <c r="T6" s="5">
        <v>1</v>
      </c>
      <c r="U6">
        <v>1</v>
      </c>
      <c r="V6" s="4">
        <v>0.189</v>
      </c>
    </row>
    <row r="7" spans="1:22" x14ac:dyDescent="0.25">
      <c r="A7">
        <v>5.5250075092772022</v>
      </c>
      <c r="C7" s="1">
        <v>13</v>
      </c>
      <c r="D7" s="7">
        <v>11.162828741362318</v>
      </c>
      <c r="E7" s="1">
        <v>6</v>
      </c>
      <c r="F7" s="6">
        <v>0.91300000000000003</v>
      </c>
      <c r="H7">
        <v>4</v>
      </c>
      <c r="J7" s="1">
        <v>49</v>
      </c>
      <c r="K7" s="7">
        <v>11</v>
      </c>
      <c r="L7" s="1">
        <v>3</v>
      </c>
      <c r="M7" s="6">
        <v>0.91300000000000003</v>
      </c>
      <c r="Q7">
        <v>1</v>
      </c>
      <c r="S7">
        <v>6</v>
      </c>
      <c r="T7" s="5">
        <v>1</v>
      </c>
      <c r="U7">
        <v>1</v>
      </c>
      <c r="V7" s="4">
        <v>0.189</v>
      </c>
    </row>
    <row r="8" spans="1:22" x14ac:dyDescent="0.25">
      <c r="A8">
        <v>-3.286105538791162</v>
      </c>
      <c r="C8" s="1">
        <v>41</v>
      </c>
      <c r="D8" s="7">
        <v>10.407034096715506</v>
      </c>
      <c r="E8" s="1">
        <v>7</v>
      </c>
      <c r="F8" s="6">
        <v>0.89600000000000002</v>
      </c>
      <c r="H8">
        <v>6</v>
      </c>
      <c r="J8" s="1">
        <v>8</v>
      </c>
      <c r="K8" s="7">
        <v>10</v>
      </c>
      <c r="L8" s="1">
        <v>7</v>
      </c>
      <c r="M8" s="6">
        <v>0.86199999999999999</v>
      </c>
      <c r="Q8">
        <v>1</v>
      </c>
      <c r="S8">
        <v>7</v>
      </c>
      <c r="T8" s="5">
        <v>1</v>
      </c>
      <c r="U8">
        <v>1</v>
      </c>
      <c r="V8" s="4">
        <v>0.189</v>
      </c>
    </row>
    <row r="9" spans="1:22" x14ac:dyDescent="0.25">
      <c r="A9">
        <v>9.0650473794084974</v>
      </c>
      <c r="C9" s="1">
        <v>47</v>
      </c>
      <c r="D9" s="7">
        <v>9.5783116194070317</v>
      </c>
      <c r="E9" s="1">
        <v>8</v>
      </c>
      <c r="F9" s="6">
        <v>0.879</v>
      </c>
      <c r="H9">
        <v>10</v>
      </c>
      <c r="J9" s="1">
        <v>25</v>
      </c>
      <c r="K9" s="7">
        <v>10</v>
      </c>
      <c r="L9" s="1">
        <v>7</v>
      </c>
      <c r="M9" s="6">
        <v>0.86199999999999999</v>
      </c>
      <c r="Q9">
        <v>1</v>
      </c>
      <c r="S9">
        <v>8</v>
      </c>
      <c r="T9" s="5">
        <v>1</v>
      </c>
      <c r="U9">
        <v>1</v>
      </c>
      <c r="V9" s="4">
        <v>0.189</v>
      </c>
    </row>
    <row r="10" spans="1:22" x14ac:dyDescent="0.25">
      <c r="A10">
        <v>-2.4995767944346881</v>
      </c>
      <c r="C10" s="1">
        <v>43</v>
      </c>
      <c r="D10" s="7">
        <v>9.2785467131761834</v>
      </c>
      <c r="E10" s="1">
        <v>9</v>
      </c>
      <c r="F10" s="6">
        <v>0.86199999999999999</v>
      </c>
      <c r="H10">
        <v>7</v>
      </c>
      <c r="J10" s="1">
        <v>44</v>
      </c>
      <c r="K10" s="7">
        <v>10</v>
      </c>
      <c r="L10" s="1">
        <v>7</v>
      </c>
      <c r="M10" s="6">
        <v>0.86199999999999999</v>
      </c>
      <c r="Q10">
        <v>1</v>
      </c>
      <c r="S10">
        <v>9</v>
      </c>
      <c r="T10" s="5">
        <v>1</v>
      </c>
      <c r="U10">
        <v>1</v>
      </c>
      <c r="V10" s="4">
        <v>0.189</v>
      </c>
    </row>
    <row r="11" spans="1:22" x14ac:dyDescent="0.25">
      <c r="A11">
        <v>1.2230930224177428</v>
      </c>
      <c r="C11" s="1">
        <v>52</v>
      </c>
      <c r="D11" s="7">
        <v>9.0687558440549765</v>
      </c>
      <c r="E11" s="1">
        <v>10</v>
      </c>
      <c r="F11" s="6">
        <v>0.84399999999999997</v>
      </c>
      <c r="H11">
        <v>8</v>
      </c>
      <c r="J11" s="1">
        <v>26</v>
      </c>
      <c r="K11" s="7">
        <v>9</v>
      </c>
      <c r="L11" s="1">
        <v>10</v>
      </c>
      <c r="M11" s="6">
        <v>0.82699999999999996</v>
      </c>
      <c r="Q11">
        <v>1</v>
      </c>
      <c r="S11">
        <v>10</v>
      </c>
      <c r="T11" s="5">
        <v>1</v>
      </c>
      <c r="U11">
        <v>1</v>
      </c>
      <c r="V11" s="4">
        <v>0.189</v>
      </c>
    </row>
    <row r="12" spans="1:22" x14ac:dyDescent="0.25">
      <c r="A12">
        <v>-9.8909367807209492</v>
      </c>
      <c r="C12" s="1">
        <v>8</v>
      </c>
      <c r="D12" s="7">
        <v>9.0650473794084974</v>
      </c>
      <c r="E12" s="1">
        <v>11</v>
      </c>
      <c r="F12" s="6">
        <v>0.82699999999999996</v>
      </c>
      <c r="H12">
        <v>3</v>
      </c>
      <c r="J12" s="1">
        <v>45</v>
      </c>
      <c r="K12" s="7">
        <v>9</v>
      </c>
      <c r="L12" s="1">
        <v>10</v>
      </c>
      <c r="M12" s="6">
        <v>0.82699999999999996</v>
      </c>
      <c r="Q12">
        <v>1</v>
      </c>
      <c r="S12">
        <v>11</v>
      </c>
      <c r="T12" s="5">
        <v>1</v>
      </c>
      <c r="U12">
        <v>1</v>
      </c>
      <c r="V12" s="4">
        <v>0.189</v>
      </c>
    </row>
    <row r="13" spans="1:22" x14ac:dyDescent="0.25">
      <c r="A13">
        <v>14.985762391006574</v>
      </c>
      <c r="C13" s="1">
        <v>22</v>
      </c>
      <c r="D13" s="7">
        <v>7.7932190833962522</v>
      </c>
      <c r="E13" s="1">
        <v>12</v>
      </c>
      <c r="F13" s="6">
        <v>0.81</v>
      </c>
      <c r="H13">
        <v>4</v>
      </c>
      <c r="J13" s="1">
        <v>10</v>
      </c>
      <c r="K13" s="7">
        <v>8</v>
      </c>
      <c r="L13" s="1">
        <v>12</v>
      </c>
      <c r="M13" s="6">
        <v>0.70599999999999996</v>
      </c>
      <c r="Q13">
        <v>1</v>
      </c>
      <c r="S13">
        <v>12</v>
      </c>
      <c r="T13" s="5">
        <v>1</v>
      </c>
      <c r="U13">
        <v>1</v>
      </c>
      <c r="V13" s="4">
        <v>0.189</v>
      </c>
    </row>
    <row r="14" spans="1:22" x14ac:dyDescent="0.25">
      <c r="A14">
        <v>11.162828741362318</v>
      </c>
      <c r="C14" s="1">
        <v>27</v>
      </c>
      <c r="D14" s="7">
        <v>7.5281354838807601</v>
      </c>
      <c r="E14" s="1">
        <v>13</v>
      </c>
      <c r="F14" s="6">
        <v>0.79300000000000004</v>
      </c>
      <c r="H14">
        <v>7</v>
      </c>
      <c r="J14" s="1">
        <v>16</v>
      </c>
      <c r="K14" s="7">
        <v>8</v>
      </c>
      <c r="L14" s="1">
        <v>12</v>
      </c>
      <c r="M14" s="6">
        <v>0.70599999999999996</v>
      </c>
      <c r="Q14">
        <v>1</v>
      </c>
      <c r="S14">
        <v>13</v>
      </c>
      <c r="T14" s="5">
        <v>1</v>
      </c>
      <c r="U14">
        <v>1</v>
      </c>
      <c r="V14" s="4">
        <v>0.189</v>
      </c>
    </row>
    <row r="15" spans="1:22" x14ac:dyDescent="0.25">
      <c r="A15">
        <v>1.8963544334837934</v>
      </c>
      <c r="C15" s="1">
        <v>23</v>
      </c>
      <c r="D15" s="7">
        <v>6.8702411226695403</v>
      </c>
      <c r="E15" s="1">
        <v>14</v>
      </c>
      <c r="F15" s="6">
        <v>0.77500000000000002</v>
      </c>
      <c r="H15">
        <v>2</v>
      </c>
      <c r="J15" s="1">
        <v>29</v>
      </c>
      <c r="K15" s="7">
        <v>8</v>
      </c>
      <c r="L15" s="1">
        <v>12</v>
      </c>
      <c r="M15" s="6">
        <v>0.70599999999999996</v>
      </c>
      <c r="Q15">
        <v>1</v>
      </c>
      <c r="S15">
        <v>14</v>
      </c>
      <c r="T15" s="5">
        <v>1</v>
      </c>
      <c r="U15">
        <v>1</v>
      </c>
      <c r="V15" s="4">
        <v>0.189</v>
      </c>
    </row>
    <row r="16" spans="1:22" x14ac:dyDescent="0.25">
      <c r="A16">
        <v>5.2131144911982119</v>
      </c>
      <c r="C16" s="1">
        <v>50</v>
      </c>
      <c r="D16" s="7">
        <v>5.6635497003298951</v>
      </c>
      <c r="E16" s="1">
        <v>15</v>
      </c>
      <c r="F16" s="6">
        <v>0.75800000000000001</v>
      </c>
      <c r="H16">
        <v>6</v>
      </c>
      <c r="J16" s="1">
        <v>33</v>
      </c>
      <c r="K16" s="7">
        <v>8</v>
      </c>
      <c r="L16" s="1">
        <v>12</v>
      </c>
      <c r="M16" s="6">
        <v>0.70599999999999996</v>
      </c>
      <c r="Q16">
        <v>0</v>
      </c>
      <c r="S16">
        <v>16</v>
      </c>
      <c r="T16" s="5">
        <v>1</v>
      </c>
      <c r="U16">
        <v>1</v>
      </c>
      <c r="V16" s="4">
        <v>0.189</v>
      </c>
    </row>
    <row r="17" spans="1:22" x14ac:dyDescent="0.25">
      <c r="A17">
        <v>12.981790860067122</v>
      </c>
      <c r="C17" s="1">
        <v>6</v>
      </c>
      <c r="D17" s="7">
        <v>5.5250075092772022</v>
      </c>
      <c r="E17" s="1">
        <v>16</v>
      </c>
      <c r="F17" s="6">
        <v>0.74099999999999999</v>
      </c>
      <c r="H17">
        <v>8</v>
      </c>
      <c r="J17" s="1">
        <v>40</v>
      </c>
      <c r="K17" s="7">
        <v>8</v>
      </c>
      <c r="L17" s="1">
        <v>12</v>
      </c>
      <c r="M17" s="6">
        <v>0.70599999999999996</v>
      </c>
      <c r="Q17">
        <v>1</v>
      </c>
      <c r="S17">
        <v>17</v>
      </c>
      <c r="T17" s="5">
        <v>1</v>
      </c>
      <c r="U17">
        <v>1</v>
      </c>
      <c r="V17" s="4">
        <v>0.189</v>
      </c>
    </row>
    <row r="18" spans="1:22" x14ac:dyDescent="0.25">
      <c r="A18">
        <v>-2.384622348472476</v>
      </c>
      <c r="C18" s="1">
        <v>15</v>
      </c>
      <c r="D18" s="7">
        <v>5.2131144911982119</v>
      </c>
      <c r="E18" s="1">
        <v>17</v>
      </c>
      <c r="F18" s="6">
        <v>0.72399999999999998</v>
      </c>
      <c r="H18">
        <v>7</v>
      </c>
      <c r="J18" s="1">
        <v>42</v>
      </c>
      <c r="K18" s="7">
        <v>8</v>
      </c>
      <c r="L18" s="1">
        <v>12</v>
      </c>
      <c r="M18" s="6">
        <v>0.70599999999999996</v>
      </c>
      <c r="Q18">
        <v>1</v>
      </c>
      <c r="S18">
        <v>18</v>
      </c>
      <c r="T18" s="5">
        <v>1</v>
      </c>
      <c r="U18">
        <v>1</v>
      </c>
      <c r="V18" s="4">
        <v>0.189</v>
      </c>
    </row>
    <row r="19" spans="1:22" x14ac:dyDescent="0.25">
      <c r="A19">
        <v>0.38708890315319877</v>
      </c>
      <c r="C19" s="1">
        <v>20</v>
      </c>
      <c r="D19" s="7">
        <v>4.794121650775196</v>
      </c>
      <c r="E19" s="1">
        <v>18</v>
      </c>
      <c r="F19" s="6">
        <v>0.70599999999999996</v>
      </c>
      <c r="H19">
        <v>11</v>
      </c>
      <c r="J19" s="1">
        <v>50</v>
      </c>
      <c r="K19" s="7">
        <v>8</v>
      </c>
      <c r="L19" s="1">
        <v>12</v>
      </c>
      <c r="M19" s="6">
        <v>0.70599999999999996</v>
      </c>
      <c r="Q19">
        <v>1</v>
      </c>
      <c r="S19">
        <v>21</v>
      </c>
      <c r="T19" s="5">
        <v>1</v>
      </c>
      <c r="U19">
        <v>1</v>
      </c>
      <c r="V19" s="4">
        <v>0.189</v>
      </c>
    </row>
    <row r="20" spans="1:22" x14ac:dyDescent="0.25">
      <c r="A20">
        <v>1.0792587090691086</v>
      </c>
      <c r="C20" s="1">
        <v>3</v>
      </c>
      <c r="D20" s="7">
        <v>3.7342965697462205</v>
      </c>
      <c r="E20" s="1">
        <v>19</v>
      </c>
      <c r="F20" s="6">
        <v>0.68899999999999995</v>
      </c>
      <c r="H20">
        <v>5</v>
      </c>
      <c r="J20" s="1">
        <v>5</v>
      </c>
      <c r="K20" s="7">
        <v>7</v>
      </c>
      <c r="L20" s="1">
        <v>19</v>
      </c>
      <c r="M20" s="6">
        <v>0.51700000000000002</v>
      </c>
      <c r="Q20">
        <v>0</v>
      </c>
      <c r="S20">
        <v>22</v>
      </c>
      <c r="T20" s="5">
        <v>1</v>
      </c>
      <c r="U20">
        <v>1</v>
      </c>
      <c r="V20" s="4">
        <v>0.189</v>
      </c>
    </row>
    <row r="21" spans="1:22" x14ac:dyDescent="0.25">
      <c r="A21">
        <v>4.794121650775196</v>
      </c>
      <c r="C21" s="1">
        <v>35</v>
      </c>
      <c r="D21" s="7">
        <v>3.5796233532892074</v>
      </c>
      <c r="E21" s="1">
        <v>20</v>
      </c>
      <c r="F21" s="6">
        <v>0.67200000000000004</v>
      </c>
      <c r="H21">
        <v>5</v>
      </c>
      <c r="J21" s="1">
        <v>9</v>
      </c>
      <c r="K21" s="7">
        <v>7</v>
      </c>
      <c r="L21" s="1">
        <v>19</v>
      </c>
      <c r="M21" s="6">
        <v>0.51700000000000002</v>
      </c>
      <c r="Q21">
        <v>0</v>
      </c>
      <c r="S21">
        <v>23</v>
      </c>
      <c r="T21" s="5">
        <v>1</v>
      </c>
      <c r="U21">
        <v>1</v>
      </c>
      <c r="V21" s="4">
        <v>0.189</v>
      </c>
    </row>
    <row r="22" spans="1:22" x14ac:dyDescent="0.25">
      <c r="A22">
        <v>-4.2665169530664571</v>
      </c>
      <c r="C22" s="1">
        <v>34</v>
      </c>
      <c r="D22" s="7">
        <v>3.1860008675721474</v>
      </c>
      <c r="E22" s="1">
        <v>21</v>
      </c>
      <c r="F22" s="6">
        <v>0.65500000000000003</v>
      </c>
      <c r="H22">
        <v>6</v>
      </c>
      <c r="J22" s="1">
        <v>13</v>
      </c>
      <c r="K22" s="7">
        <v>7</v>
      </c>
      <c r="L22" s="1">
        <v>19</v>
      </c>
      <c r="M22" s="6">
        <v>0.51700000000000002</v>
      </c>
      <c r="Q22">
        <v>1</v>
      </c>
      <c r="S22">
        <v>24</v>
      </c>
      <c r="T22" s="5">
        <v>1</v>
      </c>
      <c r="U22">
        <v>1</v>
      </c>
      <c r="V22" s="4">
        <v>0.189</v>
      </c>
    </row>
    <row r="23" spans="1:22" x14ac:dyDescent="0.25">
      <c r="A23">
        <v>7.7932190833962522</v>
      </c>
      <c r="C23" s="1">
        <v>14</v>
      </c>
      <c r="D23" s="7">
        <v>1.8963544334837934</v>
      </c>
      <c r="E23" s="1">
        <v>22</v>
      </c>
      <c r="F23" s="6">
        <v>0.63700000000000001</v>
      </c>
      <c r="H23">
        <v>5</v>
      </c>
      <c r="J23" s="1">
        <v>17</v>
      </c>
      <c r="K23" s="7">
        <v>7</v>
      </c>
      <c r="L23" s="1">
        <v>19</v>
      </c>
      <c r="M23" s="6">
        <v>0.51700000000000002</v>
      </c>
      <c r="Q23">
        <v>1</v>
      </c>
      <c r="S23">
        <v>25</v>
      </c>
      <c r="T23" s="5">
        <v>1</v>
      </c>
      <c r="U23">
        <v>1</v>
      </c>
      <c r="V23" s="4">
        <v>0.189</v>
      </c>
    </row>
    <row r="24" spans="1:22" x14ac:dyDescent="0.25">
      <c r="A24">
        <v>6.8702411226695403</v>
      </c>
      <c r="C24" s="1">
        <v>49</v>
      </c>
      <c r="D24" s="7">
        <v>1.6679018699505832</v>
      </c>
      <c r="E24" s="1">
        <v>23</v>
      </c>
      <c r="F24" s="6">
        <v>0.62</v>
      </c>
      <c r="H24">
        <v>6</v>
      </c>
      <c r="J24" s="1">
        <v>31</v>
      </c>
      <c r="K24" s="7">
        <v>7</v>
      </c>
      <c r="L24" s="1">
        <v>19</v>
      </c>
      <c r="M24" s="6">
        <v>0.51700000000000002</v>
      </c>
      <c r="Q24">
        <v>1</v>
      </c>
      <c r="S24">
        <v>26</v>
      </c>
      <c r="T24" s="5">
        <v>1</v>
      </c>
      <c r="U24">
        <v>1</v>
      </c>
      <c r="V24" s="4">
        <v>0.189</v>
      </c>
    </row>
    <row r="25" spans="1:22" x14ac:dyDescent="0.25">
      <c r="A25">
        <v>0.60774254961870611</v>
      </c>
      <c r="C25" s="1">
        <v>55</v>
      </c>
      <c r="D25" s="7">
        <v>1.4505189938063268</v>
      </c>
      <c r="E25" s="1">
        <v>24</v>
      </c>
      <c r="F25" s="6">
        <v>0.60299999999999998</v>
      </c>
      <c r="H25">
        <v>11</v>
      </c>
      <c r="J25" s="1">
        <v>34</v>
      </c>
      <c r="K25" s="7">
        <v>7</v>
      </c>
      <c r="L25" s="1">
        <v>19</v>
      </c>
      <c r="M25" s="6">
        <v>0.51700000000000002</v>
      </c>
      <c r="Q25">
        <v>1</v>
      </c>
      <c r="S25">
        <v>28</v>
      </c>
      <c r="T25" s="5">
        <v>1</v>
      </c>
      <c r="U25">
        <v>1</v>
      </c>
      <c r="V25" s="4">
        <v>0.189</v>
      </c>
    </row>
    <row r="26" spans="1:22" x14ac:dyDescent="0.25">
      <c r="A26">
        <v>-0.3420461780478945</v>
      </c>
      <c r="C26" s="1">
        <v>10</v>
      </c>
      <c r="D26" s="7">
        <v>1.2230930224177428</v>
      </c>
      <c r="E26" s="1">
        <v>25</v>
      </c>
      <c r="F26" s="6">
        <v>0.58599999999999997</v>
      </c>
      <c r="H26">
        <v>10</v>
      </c>
      <c r="J26" s="1">
        <v>39</v>
      </c>
      <c r="K26" s="7">
        <v>7</v>
      </c>
      <c r="L26" s="1">
        <v>19</v>
      </c>
      <c r="M26" s="6">
        <v>0.51700000000000002</v>
      </c>
      <c r="Q26">
        <v>1</v>
      </c>
      <c r="S26">
        <v>29</v>
      </c>
      <c r="T26" s="5">
        <v>1</v>
      </c>
      <c r="U26">
        <v>1</v>
      </c>
      <c r="V26" s="4">
        <v>0.189</v>
      </c>
    </row>
    <row r="27" spans="1:22" x14ac:dyDescent="0.25">
      <c r="A27">
        <v>-0.91210722530377097</v>
      </c>
      <c r="C27" s="1">
        <v>19</v>
      </c>
      <c r="D27" s="7">
        <v>1.0792587090691086</v>
      </c>
      <c r="E27" s="1">
        <v>26</v>
      </c>
      <c r="F27" s="6">
        <v>0.56799999999999995</v>
      </c>
      <c r="H27">
        <v>9</v>
      </c>
      <c r="J27" s="1">
        <v>47</v>
      </c>
      <c r="K27" s="7">
        <v>7</v>
      </c>
      <c r="L27" s="1">
        <v>19</v>
      </c>
      <c r="M27" s="6">
        <v>0.51700000000000002</v>
      </c>
      <c r="Q27">
        <v>1</v>
      </c>
      <c r="S27">
        <v>30</v>
      </c>
      <c r="T27" s="5">
        <v>1</v>
      </c>
      <c r="U27">
        <v>1</v>
      </c>
      <c r="V27" s="4">
        <v>0.189</v>
      </c>
    </row>
    <row r="28" spans="1:22" x14ac:dyDescent="0.25">
      <c r="A28">
        <v>7.5281354838807601</v>
      </c>
      <c r="C28" s="1">
        <v>4</v>
      </c>
      <c r="D28" s="7">
        <v>1.0353858215239597</v>
      </c>
      <c r="E28" s="1">
        <v>27</v>
      </c>
      <c r="F28" s="6">
        <v>0.55100000000000005</v>
      </c>
      <c r="H28">
        <v>4</v>
      </c>
      <c r="J28" s="1">
        <v>48</v>
      </c>
      <c r="K28" s="7">
        <v>7</v>
      </c>
      <c r="L28" s="1">
        <v>19</v>
      </c>
      <c r="M28" s="6">
        <v>0.51700000000000002</v>
      </c>
      <c r="Q28">
        <v>0</v>
      </c>
      <c r="S28">
        <v>31</v>
      </c>
      <c r="T28" s="5">
        <v>1</v>
      </c>
      <c r="U28">
        <v>1</v>
      </c>
      <c r="V28" s="4">
        <v>0.189</v>
      </c>
    </row>
    <row r="29" spans="1:22" x14ac:dyDescent="0.25">
      <c r="A29">
        <v>18.425052985548973</v>
      </c>
      <c r="C29" s="1">
        <v>42</v>
      </c>
      <c r="D29" s="7">
        <v>0.62924527810537256</v>
      </c>
      <c r="E29" s="1">
        <v>28</v>
      </c>
      <c r="F29" s="6">
        <v>0.53400000000000003</v>
      </c>
      <c r="H29">
        <v>6</v>
      </c>
      <c r="J29" s="1">
        <v>56</v>
      </c>
      <c r="K29" s="7">
        <v>7</v>
      </c>
      <c r="L29" s="1">
        <v>19</v>
      </c>
      <c r="M29" s="6">
        <v>0.51700000000000002</v>
      </c>
      <c r="Q29">
        <v>1</v>
      </c>
      <c r="S29">
        <v>32</v>
      </c>
      <c r="T29" s="5">
        <v>1</v>
      </c>
      <c r="U29">
        <v>1</v>
      </c>
      <c r="V29" s="4">
        <v>0.189</v>
      </c>
    </row>
    <row r="30" spans="1:22" x14ac:dyDescent="0.25">
      <c r="A30">
        <v>-11.660113159450702</v>
      </c>
      <c r="C30" s="1">
        <v>24</v>
      </c>
      <c r="D30" s="7">
        <v>0.60774254961870611</v>
      </c>
      <c r="E30" s="1">
        <v>29</v>
      </c>
      <c r="F30" s="6">
        <v>0.51700000000000002</v>
      </c>
      <c r="H30">
        <v>8</v>
      </c>
      <c r="J30" s="1">
        <v>57</v>
      </c>
      <c r="K30" s="7">
        <v>7</v>
      </c>
      <c r="L30" s="1">
        <v>19</v>
      </c>
      <c r="M30" s="6">
        <v>0.51700000000000002</v>
      </c>
      <c r="Q30">
        <v>1</v>
      </c>
      <c r="S30">
        <v>33</v>
      </c>
      <c r="T30" s="5">
        <v>1</v>
      </c>
      <c r="U30">
        <v>1</v>
      </c>
      <c r="V30" s="4">
        <v>0.189</v>
      </c>
    </row>
    <row r="31" spans="1:22" x14ac:dyDescent="0.25">
      <c r="A31">
        <v>-3.7918493944744114</v>
      </c>
      <c r="C31" s="1">
        <v>18</v>
      </c>
      <c r="D31" s="7">
        <v>0.38708890315319877</v>
      </c>
      <c r="E31" s="1">
        <v>30</v>
      </c>
      <c r="F31" s="6">
        <v>0.5</v>
      </c>
      <c r="H31">
        <v>6</v>
      </c>
      <c r="J31" s="1">
        <v>3</v>
      </c>
      <c r="K31" s="7">
        <v>6</v>
      </c>
      <c r="L31" s="1">
        <v>30</v>
      </c>
      <c r="M31" s="6">
        <v>0.31</v>
      </c>
      <c r="Q31">
        <v>1</v>
      </c>
      <c r="S31">
        <v>34</v>
      </c>
      <c r="T31" s="5">
        <v>1</v>
      </c>
      <c r="U31">
        <v>1</v>
      </c>
      <c r="V31" s="4">
        <v>0.189</v>
      </c>
    </row>
    <row r="32" spans="1:22" x14ac:dyDescent="0.25">
      <c r="A32">
        <v>-0.41927137317543384</v>
      </c>
      <c r="C32" s="1">
        <v>37</v>
      </c>
      <c r="D32" s="7">
        <v>0.26003817765740678</v>
      </c>
      <c r="E32" s="1">
        <v>31</v>
      </c>
      <c r="F32" s="6">
        <v>0.48199999999999998</v>
      </c>
      <c r="H32">
        <v>7</v>
      </c>
      <c r="J32" s="1">
        <v>7</v>
      </c>
      <c r="K32" s="7">
        <v>6</v>
      </c>
      <c r="L32" s="1">
        <v>30</v>
      </c>
      <c r="M32" s="6">
        <v>0.31</v>
      </c>
      <c r="Q32">
        <v>1</v>
      </c>
      <c r="S32">
        <v>35</v>
      </c>
      <c r="T32" s="5">
        <v>1</v>
      </c>
      <c r="U32">
        <v>1</v>
      </c>
      <c r="V32" s="4">
        <v>0.189</v>
      </c>
    </row>
    <row r="33" spans="1:22" x14ac:dyDescent="0.25">
      <c r="A33">
        <v>-4.0176996662921738</v>
      </c>
      <c r="C33" s="1">
        <v>1</v>
      </c>
      <c r="D33" s="7">
        <v>0.22306494429358281</v>
      </c>
      <c r="E33" s="1">
        <v>32</v>
      </c>
      <c r="F33" s="6">
        <v>0.46500000000000002</v>
      </c>
      <c r="H33">
        <v>2</v>
      </c>
      <c r="J33" s="1">
        <v>15</v>
      </c>
      <c r="K33" s="7">
        <v>6</v>
      </c>
      <c r="L33" s="1">
        <v>30</v>
      </c>
      <c r="M33" s="6">
        <v>0.31</v>
      </c>
      <c r="Q33">
        <v>1</v>
      </c>
      <c r="S33">
        <v>37</v>
      </c>
      <c r="T33" s="5">
        <v>1</v>
      </c>
      <c r="U33">
        <v>1</v>
      </c>
      <c r="V33" s="4">
        <v>0.189</v>
      </c>
    </row>
    <row r="34" spans="1:22" x14ac:dyDescent="0.25">
      <c r="A34">
        <v>12.151222108514048</v>
      </c>
      <c r="C34" s="1">
        <v>25</v>
      </c>
      <c r="D34" s="7">
        <v>-0.3420461780478945</v>
      </c>
      <c r="E34" s="1">
        <v>33</v>
      </c>
      <c r="F34" s="6">
        <v>0.44800000000000001</v>
      </c>
      <c r="H34">
        <v>8</v>
      </c>
      <c r="J34" s="1">
        <v>21</v>
      </c>
      <c r="K34" s="7">
        <v>6</v>
      </c>
      <c r="L34" s="1">
        <v>30</v>
      </c>
      <c r="M34" s="6">
        <v>0.31</v>
      </c>
      <c r="Q34">
        <v>1</v>
      </c>
      <c r="S34">
        <v>38</v>
      </c>
      <c r="T34" s="5">
        <v>1</v>
      </c>
      <c r="U34">
        <v>1</v>
      </c>
      <c r="V34" s="4">
        <v>0.189</v>
      </c>
    </row>
    <row r="35" spans="1:22" x14ac:dyDescent="0.25">
      <c r="A35">
        <v>3.1860008675721474</v>
      </c>
      <c r="C35" s="1">
        <v>31</v>
      </c>
      <c r="D35" s="7">
        <v>-0.41927137317543384</v>
      </c>
      <c r="E35" s="1">
        <v>34</v>
      </c>
      <c r="F35" s="6">
        <v>0.43099999999999999</v>
      </c>
      <c r="H35">
        <v>7</v>
      </c>
      <c r="J35" s="1">
        <v>23</v>
      </c>
      <c r="K35" s="7">
        <v>6</v>
      </c>
      <c r="L35" s="1">
        <v>30</v>
      </c>
      <c r="M35" s="6">
        <v>0.31</v>
      </c>
      <c r="Q35">
        <v>1</v>
      </c>
      <c r="S35">
        <v>39</v>
      </c>
      <c r="T35" s="5">
        <v>1</v>
      </c>
      <c r="U35">
        <v>1</v>
      </c>
      <c r="V35" s="4">
        <v>0.189</v>
      </c>
    </row>
    <row r="36" spans="1:22" x14ac:dyDescent="0.25">
      <c r="A36">
        <v>3.5796233532892074</v>
      </c>
      <c r="C36" s="1">
        <v>26</v>
      </c>
      <c r="D36" s="7">
        <v>-0.91210722530377097</v>
      </c>
      <c r="E36" s="1">
        <v>35</v>
      </c>
      <c r="F36" s="6">
        <v>0.41299999999999998</v>
      </c>
      <c r="H36">
        <v>5</v>
      </c>
      <c r="J36" s="1">
        <v>28</v>
      </c>
      <c r="K36" s="7">
        <v>6</v>
      </c>
      <c r="L36" s="1">
        <v>30</v>
      </c>
      <c r="M36" s="6">
        <v>0.31</v>
      </c>
      <c r="Q36">
        <v>1</v>
      </c>
      <c r="S36">
        <v>42</v>
      </c>
      <c r="T36" s="5">
        <v>1</v>
      </c>
      <c r="U36">
        <v>1</v>
      </c>
      <c r="V36" s="4">
        <v>0.189</v>
      </c>
    </row>
    <row r="37" spans="1:22" x14ac:dyDescent="0.25">
      <c r="A37">
        <v>-1.4319130059448071</v>
      </c>
      <c r="C37" s="1">
        <v>56</v>
      </c>
      <c r="D37" s="7">
        <v>-1.18288085104723</v>
      </c>
      <c r="E37" s="1">
        <v>36</v>
      </c>
      <c r="F37" s="6">
        <v>0.39600000000000002</v>
      </c>
      <c r="H37">
        <v>6</v>
      </c>
      <c r="J37" s="1">
        <v>30</v>
      </c>
      <c r="K37" s="7">
        <v>6</v>
      </c>
      <c r="L37" s="1">
        <v>30</v>
      </c>
      <c r="M37" s="6">
        <v>0.31</v>
      </c>
      <c r="Q37">
        <v>0</v>
      </c>
      <c r="S37">
        <v>43</v>
      </c>
      <c r="T37" s="5">
        <v>1</v>
      </c>
      <c r="U37">
        <v>1</v>
      </c>
      <c r="V37" s="4">
        <v>0.189</v>
      </c>
    </row>
    <row r="38" spans="1:22" x14ac:dyDescent="0.25">
      <c r="A38">
        <v>0.26003817765740678</v>
      </c>
      <c r="C38" s="1">
        <v>36</v>
      </c>
      <c r="D38" s="7">
        <v>-1.4319130059448071</v>
      </c>
      <c r="E38" s="1">
        <v>37</v>
      </c>
      <c r="F38" s="6">
        <v>0.379</v>
      </c>
      <c r="H38">
        <v>6</v>
      </c>
      <c r="J38" s="1">
        <v>36</v>
      </c>
      <c r="K38" s="7">
        <v>6</v>
      </c>
      <c r="L38" s="1">
        <v>30</v>
      </c>
      <c r="M38" s="6">
        <v>0.31</v>
      </c>
      <c r="Q38">
        <v>1</v>
      </c>
      <c r="S38">
        <v>44</v>
      </c>
      <c r="T38" s="5">
        <v>1</v>
      </c>
      <c r="U38">
        <v>1</v>
      </c>
      <c r="V38" s="4">
        <v>0.189</v>
      </c>
    </row>
    <row r="39" spans="1:22" x14ac:dyDescent="0.25">
      <c r="A39">
        <v>-9.9391309049678966</v>
      </c>
      <c r="C39" s="1">
        <v>48</v>
      </c>
      <c r="D39" s="7">
        <v>-1.6574369965383084</v>
      </c>
      <c r="E39" s="1">
        <v>38</v>
      </c>
      <c r="F39" s="6">
        <v>0.36199999999999999</v>
      </c>
      <c r="H39">
        <v>4</v>
      </c>
      <c r="J39" s="1">
        <v>37</v>
      </c>
      <c r="K39" s="7">
        <v>6</v>
      </c>
      <c r="L39" s="1">
        <v>30</v>
      </c>
      <c r="M39" s="6">
        <v>0.31</v>
      </c>
      <c r="Q39">
        <v>1</v>
      </c>
      <c r="S39">
        <v>45</v>
      </c>
      <c r="T39" s="5">
        <v>1</v>
      </c>
      <c r="U39">
        <v>1</v>
      </c>
      <c r="V39" s="4">
        <v>0.189</v>
      </c>
    </row>
    <row r="40" spans="1:22" x14ac:dyDescent="0.25">
      <c r="A40">
        <v>-2.0026823221996892</v>
      </c>
      <c r="C40" s="1">
        <v>39</v>
      </c>
      <c r="D40" s="7">
        <v>-2.0026823221996892</v>
      </c>
      <c r="E40" s="1">
        <v>39</v>
      </c>
      <c r="F40" s="6">
        <v>0.34399999999999997</v>
      </c>
      <c r="H40">
        <v>7</v>
      </c>
      <c r="J40" s="1">
        <v>53</v>
      </c>
      <c r="K40" s="7">
        <v>6</v>
      </c>
      <c r="L40" s="1">
        <v>30</v>
      </c>
      <c r="M40" s="6">
        <v>0.31</v>
      </c>
      <c r="Q40">
        <v>1</v>
      </c>
      <c r="S40">
        <v>46</v>
      </c>
      <c r="T40" s="5">
        <v>1</v>
      </c>
      <c r="U40">
        <v>1</v>
      </c>
      <c r="V40" s="4">
        <v>0.189</v>
      </c>
    </row>
    <row r="41" spans="1:22" x14ac:dyDescent="0.25">
      <c r="A41">
        <v>-3.4333220355620142</v>
      </c>
      <c r="C41" s="1">
        <v>17</v>
      </c>
      <c r="D41" s="7">
        <v>-2.384622348472476</v>
      </c>
      <c r="E41" s="1">
        <v>40</v>
      </c>
      <c r="F41" s="6">
        <v>0.32700000000000001</v>
      </c>
      <c r="H41">
        <v>8</v>
      </c>
      <c r="J41" s="1">
        <v>58</v>
      </c>
      <c r="K41" s="7">
        <v>6</v>
      </c>
      <c r="L41" s="1">
        <v>30</v>
      </c>
      <c r="M41" s="6">
        <v>0.31</v>
      </c>
      <c r="Q41">
        <v>0</v>
      </c>
      <c r="S41">
        <v>48</v>
      </c>
      <c r="T41" s="5">
        <v>1</v>
      </c>
      <c r="U41">
        <v>1</v>
      </c>
      <c r="V41" s="4">
        <v>0.189</v>
      </c>
    </row>
    <row r="42" spans="1:22" x14ac:dyDescent="0.25">
      <c r="A42">
        <v>10.407034096715506</v>
      </c>
      <c r="C42" s="1">
        <v>9</v>
      </c>
      <c r="D42" s="7">
        <v>-2.4995767944346881</v>
      </c>
      <c r="E42" s="1">
        <v>41</v>
      </c>
      <c r="F42" s="6">
        <v>0.31</v>
      </c>
      <c r="H42">
        <v>4</v>
      </c>
      <c r="J42" s="1">
        <v>59</v>
      </c>
      <c r="K42" s="7">
        <v>6</v>
      </c>
      <c r="L42" s="1">
        <v>30</v>
      </c>
      <c r="M42" s="6">
        <v>0.31</v>
      </c>
      <c r="Q42">
        <v>0</v>
      </c>
      <c r="S42">
        <v>49</v>
      </c>
      <c r="T42" s="5">
        <v>1</v>
      </c>
      <c r="U42">
        <v>1</v>
      </c>
      <c r="V42" s="4">
        <v>0.189</v>
      </c>
    </row>
    <row r="43" spans="1:22" x14ac:dyDescent="0.25">
      <c r="A43">
        <v>0.62924527810537256</v>
      </c>
      <c r="C43" s="1">
        <v>59</v>
      </c>
      <c r="D43" s="7">
        <v>-3.0788692129135597</v>
      </c>
      <c r="E43" s="1">
        <v>42</v>
      </c>
      <c r="F43" s="6">
        <v>0.29299999999999998</v>
      </c>
      <c r="H43">
        <v>8</v>
      </c>
      <c r="J43" s="1">
        <v>2</v>
      </c>
      <c r="K43" s="7">
        <v>5</v>
      </c>
      <c r="L43" s="1">
        <v>42</v>
      </c>
      <c r="M43" s="6">
        <v>0.155</v>
      </c>
      <c r="Q43">
        <v>1</v>
      </c>
      <c r="S43">
        <v>50</v>
      </c>
      <c r="T43" s="5">
        <v>1</v>
      </c>
      <c r="U43">
        <v>1</v>
      </c>
      <c r="V43" s="4">
        <v>0.189</v>
      </c>
    </row>
    <row r="44" spans="1:22" x14ac:dyDescent="0.25">
      <c r="A44">
        <v>9.2785467131761834</v>
      </c>
      <c r="C44" s="1">
        <v>7</v>
      </c>
      <c r="D44" s="7">
        <v>-3.286105538791162</v>
      </c>
      <c r="E44" s="1">
        <v>43</v>
      </c>
      <c r="F44" s="6">
        <v>0.27500000000000002</v>
      </c>
      <c r="H44">
        <v>5</v>
      </c>
      <c r="J44" s="1">
        <v>4</v>
      </c>
      <c r="K44" s="7">
        <v>5</v>
      </c>
      <c r="L44" s="1">
        <v>42</v>
      </c>
      <c r="M44" s="6">
        <v>0.155</v>
      </c>
      <c r="Q44">
        <v>1</v>
      </c>
      <c r="S44">
        <v>51</v>
      </c>
      <c r="T44" s="5">
        <v>1</v>
      </c>
      <c r="U44">
        <v>1</v>
      </c>
      <c r="V44" s="4">
        <v>0.189</v>
      </c>
    </row>
    <row r="45" spans="1:22" x14ac:dyDescent="0.25">
      <c r="A45">
        <v>-14.830548025202006</v>
      </c>
      <c r="C45" s="1">
        <v>53</v>
      </c>
      <c r="D45" s="7">
        <v>-3.4019512895611115</v>
      </c>
      <c r="E45" s="1">
        <v>44</v>
      </c>
      <c r="F45" s="6">
        <v>0.25800000000000001</v>
      </c>
      <c r="H45">
        <v>10</v>
      </c>
      <c r="J45" s="1">
        <v>19</v>
      </c>
      <c r="K45" s="7">
        <v>5</v>
      </c>
      <c r="L45" s="1">
        <v>42</v>
      </c>
      <c r="M45" s="6">
        <v>0.155</v>
      </c>
      <c r="Q45">
        <v>1</v>
      </c>
      <c r="S45">
        <v>52</v>
      </c>
      <c r="T45" s="5">
        <v>1</v>
      </c>
      <c r="U45">
        <v>1</v>
      </c>
      <c r="V45" s="4">
        <v>0.189</v>
      </c>
    </row>
    <row r="46" spans="1:22" x14ac:dyDescent="0.25">
      <c r="A46">
        <v>-6.4631694840500131</v>
      </c>
      <c r="C46" s="1">
        <v>40</v>
      </c>
      <c r="D46" s="7">
        <v>-3.4333220355620142</v>
      </c>
      <c r="E46" s="1">
        <v>45</v>
      </c>
      <c r="F46" s="6">
        <v>0.24099999999999999</v>
      </c>
      <c r="H46">
        <v>9</v>
      </c>
      <c r="J46" s="1">
        <v>20</v>
      </c>
      <c r="K46" s="7">
        <v>5</v>
      </c>
      <c r="L46" s="1">
        <v>42</v>
      </c>
      <c r="M46" s="6">
        <v>0.155</v>
      </c>
      <c r="Q46">
        <v>1</v>
      </c>
      <c r="S46">
        <v>55</v>
      </c>
      <c r="T46" s="5">
        <v>1</v>
      </c>
      <c r="U46">
        <v>1</v>
      </c>
      <c r="V46" s="4">
        <v>0.189</v>
      </c>
    </row>
    <row r="47" spans="1:22" x14ac:dyDescent="0.25">
      <c r="A47">
        <v>-5.0450159960746532</v>
      </c>
      <c r="C47" s="1">
        <v>30</v>
      </c>
      <c r="D47" s="7">
        <v>-3.7918493944744114</v>
      </c>
      <c r="E47" s="1">
        <v>46</v>
      </c>
      <c r="F47" s="6">
        <v>0.224</v>
      </c>
      <c r="H47">
        <v>11</v>
      </c>
      <c r="J47" s="1">
        <v>22</v>
      </c>
      <c r="K47" s="7">
        <v>5</v>
      </c>
      <c r="L47" s="1">
        <v>42</v>
      </c>
      <c r="M47" s="6">
        <v>0.155</v>
      </c>
      <c r="Q47">
        <v>1</v>
      </c>
      <c r="S47">
        <v>56</v>
      </c>
      <c r="T47" s="5">
        <v>1</v>
      </c>
      <c r="U47">
        <v>1</v>
      </c>
      <c r="V47" s="4">
        <v>0.189</v>
      </c>
    </row>
    <row r="48" spans="1:22" x14ac:dyDescent="0.25">
      <c r="A48">
        <v>9.5783116194070317</v>
      </c>
      <c r="C48" s="1">
        <v>32</v>
      </c>
      <c r="D48" s="7">
        <v>-4.0176996662921738</v>
      </c>
      <c r="E48" s="1">
        <v>47</v>
      </c>
      <c r="F48" s="6">
        <v>0.20599999999999999</v>
      </c>
      <c r="H48">
        <v>7</v>
      </c>
      <c r="J48" s="1">
        <v>35</v>
      </c>
      <c r="K48" s="7">
        <v>5</v>
      </c>
      <c r="L48" s="1">
        <v>42</v>
      </c>
      <c r="M48" s="6">
        <v>0.155</v>
      </c>
      <c r="Q48">
        <v>0</v>
      </c>
      <c r="S48">
        <v>57</v>
      </c>
      <c r="T48" s="5">
        <v>1</v>
      </c>
      <c r="U48">
        <v>1</v>
      </c>
      <c r="V48" s="4">
        <v>0.189</v>
      </c>
    </row>
    <row r="49" spans="1:22" x14ac:dyDescent="0.25">
      <c r="A49">
        <v>-1.6574369965383084</v>
      </c>
      <c r="C49" s="1">
        <v>21</v>
      </c>
      <c r="D49" s="7">
        <v>-4.2665169530664571</v>
      </c>
      <c r="E49" s="1">
        <v>48</v>
      </c>
      <c r="F49" s="6">
        <v>0.189</v>
      </c>
      <c r="H49">
        <v>7</v>
      </c>
      <c r="J49" s="1">
        <v>43</v>
      </c>
      <c r="K49" s="7">
        <v>5</v>
      </c>
      <c r="L49" s="1">
        <v>42</v>
      </c>
      <c r="M49" s="6">
        <v>0.155</v>
      </c>
      <c r="Q49">
        <v>1</v>
      </c>
      <c r="S49">
        <v>59</v>
      </c>
      <c r="T49" s="5">
        <v>1</v>
      </c>
      <c r="U49">
        <v>1</v>
      </c>
      <c r="V49" s="4">
        <v>0.189</v>
      </c>
    </row>
    <row r="50" spans="1:22" x14ac:dyDescent="0.25">
      <c r="A50">
        <v>1.6679018699505832</v>
      </c>
      <c r="C50" s="1">
        <v>46</v>
      </c>
      <c r="D50" s="7">
        <v>-5.0450159960746532</v>
      </c>
      <c r="E50" s="1">
        <v>49</v>
      </c>
      <c r="F50" s="6">
        <v>0.17199999999999999</v>
      </c>
      <c r="H50">
        <v>11</v>
      </c>
      <c r="J50" s="1">
        <v>51</v>
      </c>
      <c r="K50" s="7">
        <v>5</v>
      </c>
      <c r="L50" s="1">
        <v>42</v>
      </c>
      <c r="M50" s="6">
        <v>0.155</v>
      </c>
      <c r="Q50">
        <v>1</v>
      </c>
      <c r="S50">
        <v>15</v>
      </c>
      <c r="T50" s="5">
        <v>0</v>
      </c>
      <c r="U50">
        <v>49</v>
      </c>
      <c r="V50" s="4">
        <v>0</v>
      </c>
    </row>
    <row r="51" spans="1:22" x14ac:dyDescent="0.25">
      <c r="A51">
        <v>5.6635497003298951</v>
      </c>
      <c r="C51" s="1">
        <v>5</v>
      </c>
      <c r="D51" s="7">
        <v>-5.5045552471710835</v>
      </c>
      <c r="E51" s="1">
        <v>50</v>
      </c>
      <c r="F51" s="6">
        <v>0.155</v>
      </c>
      <c r="H51">
        <v>8</v>
      </c>
      <c r="J51" s="1">
        <v>54</v>
      </c>
      <c r="K51" s="7">
        <v>5</v>
      </c>
      <c r="L51" s="1">
        <v>42</v>
      </c>
      <c r="M51" s="6">
        <v>0.155</v>
      </c>
      <c r="Q51">
        <v>1</v>
      </c>
      <c r="S51">
        <v>19</v>
      </c>
      <c r="T51" s="5">
        <v>0</v>
      </c>
      <c r="U51">
        <v>49</v>
      </c>
      <c r="V51" s="4">
        <v>0</v>
      </c>
    </row>
    <row r="52" spans="1:22" x14ac:dyDescent="0.25">
      <c r="A52">
        <v>-6.7575706452771556</v>
      </c>
      <c r="C52" s="1">
        <v>58</v>
      </c>
      <c r="D52" s="7">
        <v>-6.3403285821550526</v>
      </c>
      <c r="E52" s="1">
        <v>51</v>
      </c>
      <c r="F52" s="6">
        <v>0.13700000000000001</v>
      </c>
      <c r="H52">
        <v>5</v>
      </c>
      <c r="J52" s="1">
        <v>6</v>
      </c>
      <c r="K52" s="7">
        <v>4</v>
      </c>
      <c r="L52" s="1">
        <v>51</v>
      </c>
      <c r="M52" s="6">
        <v>5.0999999999999997E-2</v>
      </c>
      <c r="Q52">
        <v>1</v>
      </c>
      <c r="S52">
        <v>20</v>
      </c>
      <c r="T52" s="5">
        <v>0</v>
      </c>
      <c r="U52">
        <v>49</v>
      </c>
      <c r="V52" s="4">
        <v>0</v>
      </c>
    </row>
    <row r="53" spans="1:22" x14ac:dyDescent="0.25">
      <c r="A53">
        <v>9.0687558440549765</v>
      </c>
      <c r="C53" s="1">
        <v>45</v>
      </c>
      <c r="D53" s="7">
        <v>-6.4631694840500131</v>
      </c>
      <c r="E53" s="1">
        <v>52</v>
      </c>
      <c r="F53" s="6">
        <v>0.12</v>
      </c>
      <c r="H53">
        <v>13</v>
      </c>
      <c r="J53" s="1">
        <v>12</v>
      </c>
      <c r="K53" s="7">
        <v>4</v>
      </c>
      <c r="L53" s="1">
        <v>51</v>
      </c>
      <c r="M53" s="6">
        <v>5.0999999999999997E-2</v>
      </c>
      <c r="Q53">
        <v>1</v>
      </c>
      <c r="S53">
        <v>27</v>
      </c>
      <c r="T53" s="5">
        <v>0</v>
      </c>
      <c r="U53">
        <v>49</v>
      </c>
      <c r="V53" s="4">
        <v>0</v>
      </c>
    </row>
    <row r="54" spans="1:22" x14ac:dyDescent="0.25">
      <c r="A54">
        <v>-3.4019512895611115</v>
      </c>
      <c r="C54" s="1">
        <v>51</v>
      </c>
      <c r="D54" s="7">
        <v>-6.7575706452771556</v>
      </c>
      <c r="E54" s="1">
        <v>53</v>
      </c>
      <c r="F54" s="6">
        <v>0.10299999999999999</v>
      </c>
      <c r="H54">
        <v>6</v>
      </c>
      <c r="J54" s="1">
        <v>27</v>
      </c>
      <c r="K54" s="7">
        <v>4</v>
      </c>
      <c r="L54" s="1">
        <v>51</v>
      </c>
      <c r="M54" s="6">
        <v>5.0999999999999997E-2</v>
      </c>
      <c r="Q54">
        <v>0</v>
      </c>
      <c r="S54">
        <v>36</v>
      </c>
      <c r="T54" s="5">
        <v>0</v>
      </c>
      <c r="U54">
        <v>49</v>
      </c>
      <c r="V54" s="4">
        <v>0</v>
      </c>
    </row>
    <row r="55" spans="1:22" x14ac:dyDescent="0.25">
      <c r="A55">
        <v>-9.0243179329263512</v>
      </c>
      <c r="C55" s="1">
        <v>54</v>
      </c>
      <c r="D55" s="7">
        <v>-9.0243179329263512</v>
      </c>
      <c r="E55" s="1">
        <v>54</v>
      </c>
      <c r="F55" s="6">
        <v>8.5999999999999993E-2</v>
      </c>
      <c r="H55">
        <v>5</v>
      </c>
      <c r="J55" s="1">
        <v>38</v>
      </c>
      <c r="K55" s="7">
        <v>4</v>
      </c>
      <c r="L55" s="1">
        <v>51</v>
      </c>
      <c r="M55" s="6">
        <v>5.0999999999999997E-2</v>
      </c>
      <c r="Q55">
        <v>0</v>
      </c>
      <c r="S55">
        <v>40</v>
      </c>
      <c r="T55" s="5">
        <v>0</v>
      </c>
      <c r="U55">
        <v>49</v>
      </c>
      <c r="V55" s="4">
        <v>0</v>
      </c>
    </row>
    <row r="56" spans="1:22" x14ac:dyDescent="0.25">
      <c r="A56">
        <v>1.4505189938063268</v>
      </c>
      <c r="C56" s="1">
        <v>11</v>
      </c>
      <c r="D56" s="7">
        <v>-9.8909367807209492</v>
      </c>
      <c r="E56" s="1">
        <v>55</v>
      </c>
      <c r="F56" s="6">
        <v>6.8000000000000005E-2</v>
      </c>
      <c r="H56">
        <v>4</v>
      </c>
      <c r="J56" s="1">
        <v>41</v>
      </c>
      <c r="K56" s="7">
        <v>4</v>
      </c>
      <c r="L56" s="1">
        <v>51</v>
      </c>
      <c r="M56" s="6">
        <v>5.0999999999999997E-2</v>
      </c>
      <c r="Q56">
        <v>1</v>
      </c>
      <c r="S56">
        <v>41</v>
      </c>
      <c r="T56" s="5">
        <v>0</v>
      </c>
      <c r="U56">
        <v>49</v>
      </c>
      <c r="V56" s="4">
        <v>0</v>
      </c>
    </row>
    <row r="57" spans="1:22" x14ac:dyDescent="0.25">
      <c r="A57">
        <v>-1.18288085104723</v>
      </c>
      <c r="C57" s="1">
        <v>38</v>
      </c>
      <c r="D57" s="7">
        <v>-9.9391309049678966</v>
      </c>
      <c r="E57" s="1">
        <v>56</v>
      </c>
      <c r="F57" s="6">
        <v>5.0999999999999997E-2</v>
      </c>
      <c r="H57">
        <v>7</v>
      </c>
      <c r="J57" s="1">
        <v>55</v>
      </c>
      <c r="K57" s="7">
        <v>4</v>
      </c>
      <c r="L57" s="1">
        <v>51</v>
      </c>
      <c r="M57" s="6">
        <v>5.0999999999999997E-2</v>
      </c>
      <c r="Q57">
        <v>1</v>
      </c>
      <c r="S57">
        <v>47</v>
      </c>
      <c r="T57" s="5">
        <v>0</v>
      </c>
      <c r="U57">
        <v>49</v>
      </c>
      <c r="V57" s="4">
        <v>0</v>
      </c>
    </row>
    <row r="58" spans="1:22" x14ac:dyDescent="0.25">
      <c r="A58">
        <v>-13.885000953450799</v>
      </c>
      <c r="C58" s="1">
        <v>29</v>
      </c>
      <c r="D58" s="7">
        <v>-11.660113159450702</v>
      </c>
      <c r="E58" s="1">
        <v>57</v>
      </c>
      <c r="F58" s="6">
        <v>3.4000000000000002E-2</v>
      </c>
      <c r="H58">
        <v>7</v>
      </c>
      <c r="J58" s="1">
        <v>11</v>
      </c>
      <c r="K58" s="7">
        <v>3</v>
      </c>
      <c r="L58" s="1">
        <v>57</v>
      </c>
      <c r="M58" s="6">
        <v>3.4000000000000002E-2</v>
      </c>
      <c r="Q58">
        <v>1</v>
      </c>
      <c r="S58">
        <v>53</v>
      </c>
      <c r="T58" s="5">
        <v>0</v>
      </c>
      <c r="U58">
        <v>49</v>
      </c>
      <c r="V58" s="4">
        <v>0</v>
      </c>
    </row>
    <row r="59" spans="1:22" x14ac:dyDescent="0.25">
      <c r="A59">
        <v>-6.3403285821550526</v>
      </c>
      <c r="C59" s="1">
        <v>57</v>
      </c>
      <c r="D59" s="7">
        <v>-13.885000953450799</v>
      </c>
      <c r="E59" s="1">
        <v>58</v>
      </c>
      <c r="F59" s="6">
        <v>1.7000000000000001E-2</v>
      </c>
      <c r="H59">
        <v>6</v>
      </c>
      <c r="J59" s="1">
        <v>14</v>
      </c>
      <c r="K59" s="7">
        <v>2</v>
      </c>
      <c r="L59" s="1">
        <v>58</v>
      </c>
      <c r="M59" s="6">
        <v>0</v>
      </c>
      <c r="Q59">
        <v>0</v>
      </c>
      <c r="S59">
        <v>54</v>
      </c>
      <c r="T59" s="5">
        <v>0</v>
      </c>
      <c r="U59">
        <v>49</v>
      </c>
      <c r="V59" s="4">
        <v>0</v>
      </c>
    </row>
    <row r="60" spans="1:22" ht="15.75" thickBot="1" x14ac:dyDescent="0.3">
      <c r="A60">
        <v>-3.0788692129135597</v>
      </c>
      <c r="C60" s="2">
        <v>44</v>
      </c>
      <c r="D60" s="9">
        <v>-14.830548025202006</v>
      </c>
      <c r="E60" s="2">
        <v>59</v>
      </c>
      <c r="F60" s="8">
        <v>0</v>
      </c>
      <c r="H60">
        <v>6</v>
      </c>
      <c r="J60" s="2">
        <v>32</v>
      </c>
      <c r="K60" s="9">
        <v>2</v>
      </c>
      <c r="L60" s="2">
        <v>58</v>
      </c>
      <c r="M60" s="8">
        <v>0</v>
      </c>
      <c r="Q60">
        <v>1</v>
      </c>
      <c r="S60">
        <v>58</v>
      </c>
      <c r="T60" s="5">
        <v>0</v>
      </c>
      <c r="U60">
        <v>49</v>
      </c>
      <c r="V60" s="4">
        <v>0</v>
      </c>
    </row>
  </sheetData>
  <sortState xmlns:xlrd2="http://schemas.microsoft.com/office/spreadsheetml/2017/richdata2" ref="S2:V60">
    <sortCondition ref="U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8289-78DF-4804-9F40-102301C406F6}">
  <dimension ref="A1:C40"/>
  <sheetViews>
    <sheetView workbookViewId="0">
      <selection activeCell="C9" sqref="C9"/>
    </sheetView>
  </sheetViews>
  <sheetFormatPr defaultRowHeight="15" x14ac:dyDescent="0.25"/>
  <cols>
    <col min="1" max="1" width="18.140625" customWidth="1"/>
    <col min="3" max="3" width="18.42578125" customWidth="1"/>
  </cols>
  <sheetData>
    <row r="1" spans="1:3" x14ac:dyDescent="0.25">
      <c r="A1">
        <v>-3.6905430533806793</v>
      </c>
      <c r="C1" t="s">
        <v>26</v>
      </c>
    </row>
    <row r="2" spans="1:3" x14ac:dyDescent="0.25">
      <c r="A2">
        <v>-1.497049879617407</v>
      </c>
      <c r="C2">
        <f>AVERAGE(A1:A40)</f>
        <v>-1.5232327541525592</v>
      </c>
    </row>
    <row r="3" spans="1:3" x14ac:dyDescent="0.25">
      <c r="A3">
        <v>7.842177183192689</v>
      </c>
      <c r="C3" t="s">
        <v>27</v>
      </c>
    </row>
    <row r="4" spans="1:3" x14ac:dyDescent="0.25">
      <c r="A4">
        <v>-6.0208594732102938</v>
      </c>
      <c r="C4">
        <f>_xlfn.STDEV.S(A1:A40)</f>
        <v>7.9615066439297557</v>
      </c>
    </row>
    <row r="5" spans="1:3" x14ac:dyDescent="0.25">
      <c r="A5">
        <v>-2.1813093553646468</v>
      </c>
      <c r="C5" t="s">
        <v>28</v>
      </c>
    </row>
    <row r="6" spans="1:3" x14ac:dyDescent="0.25">
      <c r="A6">
        <v>-6.2800381783745252</v>
      </c>
      <c r="C6">
        <f>_xlfn.VAR.S(A1:A40)</f>
        <v>63.385588041337648</v>
      </c>
    </row>
    <row r="7" spans="1:3" x14ac:dyDescent="0.25">
      <c r="A7">
        <v>3.2461002774653025</v>
      </c>
      <c r="C7" t="s">
        <v>29</v>
      </c>
    </row>
    <row r="8" spans="1:3" x14ac:dyDescent="0.25">
      <c r="A8">
        <v>-17.605307220946997</v>
      </c>
      <c r="C8">
        <f>_xlfn.STDEV.S(A1:A40)/SQRT(COUNT(A1:A40))</f>
        <v>1.2588247300690596</v>
      </c>
    </row>
    <row r="9" spans="1:3" x14ac:dyDescent="0.25">
      <c r="A9">
        <v>-1.1405359146010596</v>
      </c>
    </row>
    <row r="10" spans="1:3" x14ac:dyDescent="0.25">
      <c r="A10">
        <v>8.9924537860497367</v>
      </c>
    </row>
    <row r="11" spans="1:3" x14ac:dyDescent="0.25">
      <c r="A11">
        <v>5.4485622058564331</v>
      </c>
    </row>
    <row r="12" spans="1:3" x14ac:dyDescent="0.25">
      <c r="A12">
        <v>-5.9629246607073583</v>
      </c>
    </row>
    <row r="13" spans="1:3" x14ac:dyDescent="0.25">
      <c r="A13">
        <v>1.8286709746462293</v>
      </c>
    </row>
    <row r="14" spans="1:3" x14ac:dyDescent="0.25">
      <c r="A14">
        <v>-1.0418796136946185</v>
      </c>
    </row>
    <row r="15" spans="1:3" x14ac:dyDescent="0.25">
      <c r="A15">
        <v>-5.2357472668518312</v>
      </c>
    </row>
    <row r="16" spans="1:3" x14ac:dyDescent="0.25">
      <c r="A16">
        <v>-10.338021638744976</v>
      </c>
    </row>
    <row r="17" spans="1:1" x14ac:dyDescent="0.25">
      <c r="A17">
        <v>-7.7753293226123787</v>
      </c>
    </row>
    <row r="18" spans="1:1" x14ac:dyDescent="0.25">
      <c r="A18">
        <v>-9.9127737485105172</v>
      </c>
    </row>
    <row r="19" spans="1:1" x14ac:dyDescent="0.25">
      <c r="A19">
        <v>1.9141407392453402</v>
      </c>
    </row>
    <row r="20" spans="1:1" x14ac:dyDescent="0.25">
      <c r="A20">
        <v>-8.4591511040343903</v>
      </c>
    </row>
    <row r="21" spans="1:1" x14ac:dyDescent="0.25">
      <c r="A21">
        <v>-4.6348964133358095</v>
      </c>
    </row>
    <row r="22" spans="1:1" x14ac:dyDescent="0.25">
      <c r="A22">
        <v>0.74708850661409087</v>
      </c>
    </row>
    <row r="23" spans="1:1" x14ac:dyDescent="0.25">
      <c r="A23">
        <v>19.646904547698796</v>
      </c>
    </row>
    <row r="24" spans="1:1" x14ac:dyDescent="0.25">
      <c r="A24">
        <v>6.3751053858140949</v>
      </c>
    </row>
    <row r="25" spans="1:1" x14ac:dyDescent="0.25">
      <c r="A25">
        <v>7.3204455475206487</v>
      </c>
    </row>
    <row r="26" spans="1:1" x14ac:dyDescent="0.25">
      <c r="A26">
        <v>1.6222145404753974</v>
      </c>
    </row>
    <row r="27" spans="1:1" x14ac:dyDescent="0.25">
      <c r="A27">
        <v>-2.5138456294371281</v>
      </c>
    </row>
    <row r="28" spans="1:1" x14ac:dyDescent="0.25">
      <c r="A28">
        <v>-9.8504142442834564</v>
      </c>
    </row>
    <row r="29" spans="1:1" x14ac:dyDescent="0.25">
      <c r="A29">
        <v>-1.8574951354821678</v>
      </c>
    </row>
    <row r="30" spans="1:1" x14ac:dyDescent="0.25">
      <c r="A30">
        <v>8.1180519373447169</v>
      </c>
    </row>
    <row r="31" spans="1:1" x14ac:dyDescent="0.25">
      <c r="A31">
        <v>-9.7547581390244886</v>
      </c>
    </row>
    <row r="32" spans="1:1" x14ac:dyDescent="0.25">
      <c r="A32">
        <v>-5.5572377277712803</v>
      </c>
    </row>
    <row r="33" spans="1:1" x14ac:dyDescent="0.25">
      <c r="A33">
        <v>17.64350599842146</v>
      </c>
    </row>
    <row r="34" spans="1:1" x14ac:dyDescent="0.25">
      <c r="A34">
        <v>-2.1841185571247479</v>
      </c>
    </row>
    <row r="35" spans="1:1" x14ac:dyDescent="0.25">
      <c r="A35">
        <v>5.7067381931119598</v>
      </c>
    </row>
    <row r="36" spans="1:1" x14ac:dyDescent="0.25">
      <c r="A36">
        <v>-7.7942218013049569</v>
      </c>
    </row>
    <row r="37" spans="1:1" x14ac:dyDescent="0.25">
      <c r="A37">
        <v>-15.343684935942292</v>
      </c>
    </row>
    <row r="38" spans="1:1" x14ac:dyDescent="0.25">
      <c r="A38">
        <v>-6.1395462580549065</v>
      </c>
    </row>
    <row r="39" spans="1:1" x14ac:dyDescent="0.25">
      <c r="A39">
        <v>-8.2089491115766577</v>
      </c>
    </row>
    <row r="40" spans="1:1" x14ac:dyDescent="0.25">
      <c r="A40">
        <v>3.5991683944303077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Равномерное</vt:lpstr>
      <vt:lpstr>Нормальное</vt:lpstr>
      <vt:lpstr>Бернулли</vt:lpstr>
      <vt:lpstr>Биноминальное</vt:lpstr>
      <vt:lpstr>Пуассона</vt:lpstr>
      <vt:lpstr>Модельное</vt:lpstr>
      <vt:lpstr>Дискретное</vt:lpstr>
      <vt:lpstr>С итоговой статистикой</vt:lpstr>
      <vt:lpstr>Без итоговой статистики</vt:lpstr>
      <vt:lpstr>Описательная статистика</vt:lpstr>
      <vt:lpstr>3.7 Рассчеты</vt:lpstr>
      <vt:lpstr>3.5 Рассчеты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2015-06-05T18:17:20Z</dcterms:created>
  <dcterms:modified xsi:type="dcterms:W3CDTF">2025-02-19T21:49:24Z</dcterms:modified>
</cp:coreProperties>
</file>