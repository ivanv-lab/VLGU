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vanv\Desktop\VLGU (1)\VLGU\2 семестр\Методы анализа данных\Лаб 7\"/>
    </mc:Choice>
  </mc:AlternateContent>
  <xr:revisionPtr revIDLastSave="0" documentId="13_ncr:1_{F8038F9F-2EAE-4919-964F-84E824D170A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D4" i="1"/>
  <c r="D3" i="1"/>
  <c r="D5" i="1" l="1"/>
  <c r="D6" i="1" l="1"/>
  <c r="E6" i="1"/>
  <c r="D7" i="1" l="1"/>
  <c r="E7" i="1"/>
  <c r="D8" i="1" l="1"/>
  <c r="E8" i="1"/>
  <c r="D9" i="1" l="1"/>
  <c r="E9" i="1"/>
  <c r="E10" i="1"/>
  <c r="D10" i="1" l="1"/>
  <c r="D11" i="1" l="1"/>
  <c r="E11" i="1"/>
  <c r="D12" i="1" l="1"/>
  <c r="E12" i="1"/>
  <c r="D13" i="1" l="1"/>
  <c r="E13" i="1"/>
  <c r="D14" i="1" l="1"/>
  <c r="E14" i="1"/>
  <c r="D15" i="1" l="1"/>
  <c r="E15" i="1"/>
  <c r="D16" i="1" l="1"/>
  <c r="E16" i="1"/>
  <c r="D17" i="1" l="1"/>
  <c r="E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<sst xmlns="http://schemas.openxmlformats.org/spreadsheetml/2006/main" count="11" uniqueCount="7">
  <si>
    <t>Год</t>
  </si>
  <si>
    <t>Квартал</t>
  </si>
  <si>
    <t>Продажи, млн.руб</t>
  </si>
  <si>
    <t>#Н/Д</t>
  </si>
  <si>
    <t>Сглаженные уровни</t>
  </si>
  <si>
    <t>Стандартные погрешности</t>
  </si>
  <si>
    <t>Прогноз буд. периодов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</si>
</sst>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Экспоненциальное сглаживание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Фактический</c:v>
          </c:tx>
          <c:val>
            <c:numRef>
              <c:f>Sheet1!$C$2:$C$17</c:f>
              <c:numCache>
                <c:formatCode>General</c:formatCode>
                <c:ptCount val="16"/>
                <c:pt idx="0">
                  <c:v>165</c:v>
                </c:pt>
                <c:pt idx="1">
                  <c:v>253</c:v>
                </c:pt>
                <c:pt idx="2">
                  <c:v>316</c:v>
                </c:pt>
                <c:pt idx="3">
                  <c:v>287</c:v>
                </c:pt>
                <c:pt idx="4">
                  <c:v>257</c:v>
                </c:pt>
                <c:pt idx="5">
                  <c:v>308</c:v>
                </c:pt>
                <c:pt idx="6">
                  <c:v>376</c:v>
                </c:pt>
                <c:pt idx="7">
                  <c:v>351</c:v>
                </c:pt>
                <c:pt idx="8">
                  <c:v>313</c:v>
                </c:pt>
                <c:pt idx="9">
                  <c:v>299</c:v>
                </c:pt>
                <c:pt idx="10">
                  <c:v>316</c:v>
                </c:pt>
                <c:pt idx="11">
                  <c:v>324</c:v>
                </c:pt>
                <c:pt idx="12">
                  <c:v>331</c:v>
                </c:pt>
                <c:pt idx="13">
                  <c:v>315</c:v>
                </c:pt>
                <c:pt idx="14">
                  <c:v>367</c:v>
                </c:pt>
                <c:pt idx="15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1-42C6-B3A5-51385B9F6861}"/>
            </c:ext>
          </c:extLst>
        </c:ser>
        <c:ser>
          <c:idx val="1"/>
          <c:order val="1"/>
          <c:tx>
            <c:v>Прогноз</c:v>
          </c:tx>
          <c:trendline>
            <c:trendlineType val="poly"/>
            <c:order val="6"/>
            <c:dispRSqr val="1"/>
            <c:dispEq val="1"/>
            <c:trendlineLbl>
              <c:layout>
                <c:manualLayout>
                  <c:x val="0.2836077756880675"/>
                  <c:y val="-6.7388913677464302E-2"/>
                </c:manualLayout>
              </c:layout>
              <c:numFmt formatCode="General" sourceLinked="0"/>
            </c:trendlineLbl>
          </c:trendline>
          <c:val>
            <c:numRef>
              <c:f>Sheet1!$D$2:$D$17</c:f>
              <c:numCache>
                <c:formatCode>General</c:formatCode>
                <c:ptCount val="16"/>
                <c:pt idx="0">
                  <c:v>0</c:v>
                </c:pt>
                <c:pt idx="1">
                  <c:v>165</c:v>
                </c:pt>
                <c:pt idx="2">
                  <c:v>226.6</c:v>
                </c:pt>
                <c:pt idx="3">
                  <c:v>289.17999999999995</c:v>
                </c:pt>
                <c:pt idx="4">
                  <c:v>287.65399999999994</c:v>
                </c:pt>
                <c:pt idx="5">
                  <c:v>266.19619999999998</c:v>
                </c:pt>
                <c:pt idx="6">
                  <c:v>295.45885999999996</c:v>
                </c:pt>
                <c:pt idx="7">
                  <c:v>351.83765799999998</c:v>
                </c:pt>
                <c:pt idx="8">
                  <c:v>351.2512974</c:v>
                </c:pt>
                <c:pt idx="9">
                  <c:v>324.47538922000001</c:v>
                </c:pt>
                <c:pt idx="10">
                  <c:v>306.642616766</c:v>
                </c:pt>
                <c:pt idx="11">
                  <c:v>313.19278502980001</c:v>
                </c:pt>
                <c:pt idx="12">
                  <c:v>320.75783550893999</c:v>
                </c:pt>
                <c:pt idx="13">
                  <c:v>327.92735065268198</c:v>
                </c:pt>
                <c:pt idx="14">
                  <c:v>318.87820519580458</c:v>
                </c:pt>
                <c:pt idx="15">
                  <c:v>352.56346155874132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1-42C6-B3A5-51385B9F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605328"/>
        <c:axId val="532542720"/>
      </c:lineChart>
      <c:catAx>
        <c:axId val="65060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Точка данных</a:t>
                </a:r>
              </a:p>
            </c:rich>
          </c:tx>
          <c:overlay val="0"/>
        </c:title>
        <c:majorTickMark val="out"/>
        <c:minorTickMark val="none"/>
        <c:tickLblPos val="nextTo"/>
        <c:crossAx val="532542720"/>
        <c:crosses val="autoZero"/>
        <c:auto val="1"/>
        <c:lblAlgn val="ctr"/>
        <c:lblOffset val="100"/>
        <c:noMultiLvlLbl val="0"/>
      </c:catAx>
      <c:valAx>
        <c:axId val="532542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06053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10</xdr:col>
      <xdr:colOff>419101</xdr:colOff>
      <xdr:row>34</xdr:row>
      <xdr:rowOff>152399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107CE5-F7DC-6EA6-1D4F-8C0101F57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G3" sqref="G3"/>
    </sheetView>
  </sheetViews>
  <sheetFormatPr defaultRowHeight="15" x14ac:dyDescent="0.25"/>
  <cols>
    <col min="2" max="2" width="11.28515625" customWidth="1"/>
    <col min="3" max="3" width="18.42578125" customWidth="1"/>
    <col min="4" max="4" width="12.5703125" customWidth="1"/>
    <col min="5" max="5" width="14.5703125" customWidth="1"/>
    <col min="6" max="6" width="18.140625" customWidth="1"/>
  </cols>
  <sheetData>
    <row r="1" spans="1:6" ht="30.75" customHeight="1" x14ac:dyDescent="0.25">
      <c r="A1" s="1" t="s">
        <v>0</v>
      </c>
      <c r="B1" s="1" t="s">
        <v>1</v>
      </c>
      <c r="C1" s="1" t="s">
        <v>2</v>
      </c>
      <c r="D1" s="6" t="s">
        <v>4</v>
      </c>
      <c r="E1" s="6" t="s">
        <v>5</v>
      </c>
      <c r="F1" s="6" t="s">
        <v>6</v>
      </c>
    </row>
    <row r="2" spans="1:6" x14ac:dyDescent="0.25">
      <c r="A2" s="2">
        <v>2012</v>
      </c>
      <c r="B2" s="1">
        <v>1</v>
      </c>
      <c r="C2" s="1">
        <v>165</v>
      </c>
      <c r="D2" s="1" t="s">
        <v>3</v>
      </c>
      <c r="E2" s="1" t="s">
        <v>3</v>
      </c>
      <c r="F2" s="1" cm="1">
        <f t="array" ref="F2:F17">GROWTH(C2:C17,B2:B17)</f>
        <v>267.38664607603619</v>
      </c>
    </row>
    <row r="3" spans="1:6" x14ac:dyDescent="0.25">
      <c r="A3" s="3"/>
      <c r="B3" s="1">
        <v>2</v>
      </c>
      <c r="C3" s="1">
        <v>253</v>
      </c>
      <c r="D3" s="1">
        <f>C2</f>
        <v>165</v>
      </c>
      <c r="E3" s="1" t="s">
        <v>3</v>
      </c>
      <c r="F3" s="1">
        <v>289.30872579122905</v>
      </c>
    </row>
    <row r="4" spans="1:6" x14ac:dyDescent="0.25">
      <c r="A4" s="3"/>
      <c r="B4" s="1">
        <v>3</v>
      </c>
      <c r="C4" s="1">
        <v>316</v>
      </c>
      <c r="D4" s="1">
        <f>0.7*C3+0.3*D3</f>
        <v>226.6</v>
      </c>
      <c r="E4" s="1" t="s">
        <v>3</v>
      </c>
      <c r="F4" s="1">
        <v>313.02811882065015</v>
      </c>
    </row>
    <row r="5" spans="1:6" x14ac:dyDescent="0.25">
      <c r="A5" s="4"/>
      <c r="B5" s="1">
        <v>4</v>
      </c>
      <c r="C5" s="1">
        <v>287</v>
      </c>
      <c r="D5" s="1">
        <f>0.7*C4+0.3*D4</f>
        <v>289.17999999999995</v>
      </c>
      <c r="E5" s="1" t="s">
        <v>3</v>
      </c>
      <c r="F5" s="1">
        <v>338.69218048785763</v>
      </c>
    </row>
    <row r="6" spans="1:6" x14ac:dyDescent="0.25">
      <c r="A6" s="2">
        <v>2013</v>
      </c>
      <c r="B6" s="1">
        <v>1</v>
      </c>
      <c r="C6" s="1">
        <v>257</v>
      </c>
      <c r="D6" s="1">
        <f>0.7*C5+0.3*D5</f>
        <v>287.65399999999994</v>
      </c>
      <c r="E6" s="1">
        <f>SQRT(SUMXMY2(C3:C5,D3:D5)/3)</f>
        <v>72.4364374239006</v>
      </c>
      <c r="F6" s="1">
        <v>267.38664607603619</v>
      </c>
    </row>
    <row r="7" spans="1:6" x14ac:dyDescent="0.25">
      <c r="A7" s="3"/>
      <c r="B7" s="1">
        <v>2</v>
      </c>
      <c r="C7" s="1">
        <v>308</v>
      </c>
      <c r="D7" s="1">
        <f>0.7*C6+0.3*D6</f>
        <v>266.19619999999998</v>
      </c>
      <c r="E7" s="1">
        <f>SQRT(SUMXMY2(C4:C6,D4:D6)/3)</f>
        <v>54.579544751979491</v>
      </c>
      <c r="F7" s="1">
        <v>289.30872579122905</v>
      </c>
    </row>
    <row r="8" spans="1:6" x14ac:dyDescent="0.25">
      <c r="A8" s="3"/>
      <c r="B8" s="1">
        <v>3</v>
      </c>
      <c r="C8" s="1">
        <v>376</v>
      </c>
      <c r="D8" s="1">
        <f>0.7*C7+0.3*D7</f>
        <v>295.45885999999996</v>
      </c>
      <c r="E8" s="1">
        <f>SQRT(SUMXMY2(C5:C7,D5:D7)/3)</f>
        <v>29.955399126256566</v>
      </c>
      <c r="F8" s="1">
        <v>313.02811882065015</v>
      </c>
    </row>
    <row r="9" spans="1:6" x14ac:dyDescent="0.25">
      <c r="A9" s="4"/>
      <c r="B9" s="1">
        <v>4</v>
      </c>
      <c r="C9" s="1">
        <v>351</v>
      </c>
      <c r="D9" s="1">
        <f>0.7*C8+0.3*D8</f>
        <v>351.83765799999998</v>
      </c>
      <c r="E9" s="1">
        <f>SQRT(SUMXMY2(C6:C8,D6:D8)/3)</f>
        <v>55.299489578535308</v>
      </c>
      <c r="F9" s="1">
        <v>338.69218048785763</v>
      </c>
    </row>
    <row r="10" spans="1:6" x14ac:dyDescent="0.25">
      <c r="A10" s="2">
        <v>2014</v>
      </c>
      <c r="B10" s="1">
        <v>1</v>
      </c>
      <c r="C10" s="1">
        <v>313</v>
      </c>
      <c r="D10" s="1">
        <f>0.7*C9+0.3*D9</f>
        <v>351.2512974</v>
      </c>
      <c r="E10" s="1">
        <f>SQRT(SUMXMY2(C7:C9,D7:D9)/3)</f>
        <v>52.393175757486375</v>
      </c>
      <c r="F10" s="1">
        <v>267.38664607603619</v>
      </c>
    </row>
    <row r="11" spans="1:6" x14ac:dyDescent="0.25">
      <c r="A11" s="3"/>
      <c r="B11" s="1">
        <v>2</v>
      </c>
      <c r="C11" s="1">
        <v>299</v>
      </c>
      <c r="D11" s="1">
        <f>0.7*C10+0.3*D10</f>
        <v>324.47538922000001</v>
      </c>
      <c r="E11" s="1">
        <f>SQRT(SUMXMY2(C8:C10,D8:D10)/3)</f>
        <v>51.48054213716032</v>
      </c>
      <c r="F11" s="1">
        <v>289.30872579122905</v>
      </c>
    </row>
    <row r="12" spans="1:6" x14ac:dyDescent="0.25">
      <c r="A12" s="3"/>
      <c r="B12" s="1">
        <v>3</v>
      </c>
      <c r="C12" s="1">
        <v>316</v>
      </c>
      <c r="D12" s="1">
        <f>0.7*C11+0.3*D11</f>
        <v>306.642616766</v>
      </c>
      <c r="E12" s="1">
        <f>SQRT(SUMXMY2(C9:C11,D9:D11)/3)</f>
        <v>26.538392815056348</v>
      </c>
      <c r="F12" s="1">
        <v>313.02811882065015</v>
      </c>
    </row>
    <row r="13" spans="1:6" x14ac:dyDescent="0.25">
      <c r="A13" s="4"/>
      <c r="B13" s="1">
        <v>4</v>
      </c>
      <c r="C13" s="1">
        <v>324</v>
      </c>
      <c r="D13" s="1">
        <f>0.7*C12+0.3*D12</f>
        <v>313.19278502980001</v>
      </c>
      <c r="E13" s="1">
        <f>SQRT(SUMXMY2(C10:C12,D10:D12)/3)</f>
        <v>27.078391321505073</v>
      </c>
      <c r="F13" s="1">
        <v>338.69218048785763</v>
      </c>
    </row>
    <row r="14" spans="1:6" x14ac:dyDescent="0.25">
      <c r="A14" s="2">
        <v>2015</v>
      </c>
      <c r="B14" s="1">
        <v>1</v>
      </c>
      <c r="C14" s="1">
        <v>331</v>
      </c>
      <c r="D14" s="1">
        <f>0.7*C13+0.3*D13</f>
        <v>320.75783550893999</v>
      </c>
      <c r="E14" s="1">
        <f>SQRT(SUMXMY2(C11:C13,D11:D13)/3)</f>
        <v>16.865665045792017</v>
      </c>
      <c r="F14" s="1">
        <v>267.38664607603619</v>
      </c>
    </row>
    <row r="15" spans="1:6" x14ac:dyDescent="0.25">
      <c r="A15" s="3"/>
      <c r="B15" s="1">
        <v>2</v>
      </c>
      <c r="C15" s="1">
        <v>315</v>
      </c>
      <c r="D15" s="1">
        <f>0.7*C14+0.3*D14</f>
        <v>327.92735065268198</v>
      </c>
      <c r="E15" s="1">
        <f>SQRT(SUMXMY2(C12:C14,D12:D14)/3)</f>
        <v>10.153134981570792</v>
      </c>
      <c r="F15" s="1">
        <v>289.30872579122905</v>
      </c>
    </row>
    <row r="16" spans="1:6" x14ac:dyDescent="0.25">
      <c r="A16" s="3"/>
      <c r="B16" s="1">
        <v>3</v>
      </c>
      <c r="C16" s="1">
        <v>367</v>
      </c>
      <c r="D16" s="1">
        <f>0.7*C15+0.3*D15</f>
        <v>318.87820519580458</v>
      </c>
      <c r="E16" s="1">
        <f>SQRT(SUMXMY2(C13:C15,D13:D15)/3)</f>
        <v>11.384407813195535</v>
      </c>
      <c r="F16" s="1">
        <v>313.02811882065015</v>
      </c>
    </row>
    <row r="17" spans="1:6" x14ac:dyDescent="0.25">
      <c r="A17" s="4"/>
      <c r="B17" s="1">
        <v>4</v>
      </c>
      <c r="C17" s="1">
        <v>312</v>
      </c>
      <c r="D17" s="1">
        <f>0.7*C16+0.3*D16</f>
        <v>352.56346155874132</v>
      </c>
      <c r="E17" s="1">
        <f>SQRT(SUMXMY2(C14:C16,D14:D16)/3)</f>
        <v>29.369629798690671</v>
      </c>
      <c r="F17" s="1">
        <v>338.69218048785763</v>
      </c>
    </row>
    <row r="18" spans="1:6" x14ac:dyDescent="0.25">
      <c r="A18" s="5"/>
      <c r="B18" s="5"/>
      <c r="C18" s="5"/>
    </row>
    <row r="19" spans="1:6" x14ac:dyDescent="0.25">
      <c r="A19" s="5"/>
      <c r="B19" s="5"/>
      <c r="C19" s="5"/>
    </row>
    <row r="20" spans="1:6" x14ac:dyDescent="0.25">
      <c r="A20" s="5"/>
      <c r="B20" s="5"/>
      <c r="C20" s="5"/>
    </row>
    <row r="21" spans="1:6" x14ac:dyDescent="0.25">
      <c r="A21" s="5"/>
      <c r="B21" s="5"/>
      <c r="C21" s="5"/>
    </row>
    <row r="22" spans="1:6" x14ac:dyDescent="0.25">
      <c r="A22" s="5"/>
      <c r="B22" s="5"/>
      <c r="C22" s="5"/>
    </row>
    <row r="23" spans="1:6" x14ac:dyDescent="0.25">
      <c r="A23" s="5"/>
      <c r="B23" s="5"/>
      <c r="C23" s="5"/>
    </row>
    <row r="24" spans="1:6" x14ac:dyDescent="0.25">
      <c r="A24" s="5"/>
      <c r="B24" s="5"/>
      <c r="C24" s="5"/>
    </row>
    <row r="25" spans="1:6" x14ac:dyDescent="0.25">
      <c r="A25" s="5"/>
      <c r="B25" s="5"/>
      <c r="C25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Возисов</dc:creator>
  <cp:lastModifiedBy>Иван Возисов</cp:lastModifiedBy>
  <dcterms:created xsi:type="dcterms:W3CDTF">2025-03-23T16:43:53Z</dcterms:created>
  <dcterms:modified xsi:type="dcterms:W3CDTF">2025-03-23T18:10:58Z</dcterms:modified>
</cp:coreProperties>
</file>