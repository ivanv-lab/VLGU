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2 семестр\Методы анализа данных\Лаб 2\"/>
    </mc:Choice>
  </mc:AlternateContent>
  <xr:revisionPtr revIDLastSave="0" documentId="13_ncr:1_{52E6818F-E0C7-435E-A491-3D9716E4911E}" xr6:coauthVersionLast="47" xr6:coauthVersionMax="47" xr10:uidLastSave="{00000000-0000-0000-0000-000000000000}"/>
  <bookViews>
    <workbookView xWindow="0" yWindow="0" windowWidth="14400" windowHeight="15600" activeTab="5" xr2:uid="{00000000-000D-0000-FFFF-FFFF00000000}"/>
  </bookViews>
  <sheets>
    <sheet name="3.1" sheetId="1" r:id="rId1"/>
    <sheet name="3.2" sheetId="3" r:id="rId2"/>
    <sheet name="3.3" sheetId="4" r:id="rId3"/>
    <sheet name="3.4" sheetId="5" r:id="rId4"/>
    <sheet name="3.5" sheetId="6" r:id="rId5"/>
    <sheet name="3.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7" l="1"/>
  <c r="G3" i="7"/>
  <c r="G6" i="7"/>
  <c r="G2" i="7"/>
  <c r="G6" i="6"/>
  <c r="G2" i="6"/>
  <c r="G6" i="5"/>
  <c r="G2" i="5"/>
  <c r="G6" i="4"/>
  <c r="G2" i="4"/>
  <c r="G7" i="6"/>
  <c r="G3" i="6"/>
  <c r="G7" i="5"/>
  <c r="G3" i="5"/>
  <c r="G7" i="4"/>
  <c r="G3" i="4"/>
  <c r="F7" i="3"/>
  <c r="F6" i="3"/>
  <c r="F3" i="3"/>
  <c r="F2" i="3"/>
  <c r="F7" i="1"/>
  <c r="F6" i="1"/>
  <c r="F3" i="1"/>
  <c r="F2" i="1"/>
</calcChain>
</file>

<file path=xl/sharedStrings.xml><?xml version="1.0" encoding="utf-8"?>
<sst xmlns="http://schemas.openxmlformats.org/spreadsheetml/2006/main" count="120" uniqueCount="16">
  <si>
    <t>Выборка 1</t>
  </si>
  <si>
    <t>Выборка 2</t>
  </si>
  <si>
    <t>Дисперсии</t>
  </si>
  <si>
    <t>Математические ожидания</t>
  </si>
  <si>
    <t>Среднее</t>
  </si>
  <si>
    <t>Двухвыборочный z-тест для средних</t>
  </si>
  <si>
    <t>Переменная 1</t>
  </si>
  <si>
    <t>Переменная 2</t>
  </si>
  <si>
    <t>Известная дисперсия</t>
  </si>
  <si>
    <t>Наблюдения</t>
  </si>
  <si>
    <t>Гипотетическая разность средних</t>
  </si>
  <si>
    <t>z</t>
  </si>
  <si>
    <t>P(Z&lt;=z) одностороннее</t>
  </si>
  <si>
    <t>z критическое одностороннее</t>
  </si>
  <si>
    <t>P(Z&lt;=z) двухстороннее</t>
  </si>
  <si>
    <t>z критическое двухстороннее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</si>
</sst>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0" borderId="3" xfId="0" applyBorder="1"/>
    <xf numFmtId="0" fontId="0" fillId="0" borderId="3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workbookViewId="0">
      <selection activeCell="E1" sqref="E1:F7"/>
    </sheetView>
  </sheetViews>
  <sheetFormatPr defaultRowHeight="15" x14ac:dyDescent="0.25"/>
  <cols>
    <col min="1" max="1" width="18.42578125" customWidth="1"/>
    <col min="2" max="2" width="18.28515625" customWidth="1"/>
    <col min="4" max="4" width="8.7109375" customWidth="1"/>
    <col min="5" max="5" width="35.5703125" customWidth="1"/>
    <col min="6" max="6" width="27.7109375" customWidth="1"/>
    <col min="7" max="7" width="14.42578125" customWidth="1"/>
  </cols>
  <sheetData>
    <row r="1" spans="1:11" x14ac:dyDescent="0.25">
      <c r="A1" t="s">
        <v>0</v>
      </c>
      <c r="B1" t="s">
        <v>1</v>
      </c>
      <c r="E1" s="6"/>
      <c r="F1" s="6" t="s">
        <v>2</v>
      </c>
    </row>
    <row r="2" spans="1:11" x14ac:dyDescent="0.25">
      <c r="A2">
        <v>-20.304942154325545</v>
      </c>
      <c r="B2">
        <v>-20.304942154325545</v>
      </c>
      <c r="E2" s="6" t="s">
        <v>0</v>
      </c>
      <c r="F2" s="6">
        <f>_xlfn.VAR.S(A2:A21)</f>
        <v>62.733457698858587</v>
      </c>
    </row>
    <row r="3" spans="1:11" x14ac:dyDescent="0.25">
      <c r="A3">
        <v>0.55669147513981443</v>
      </c>
      <c r="B3">
        <v>0.55669147513981443</v>
      </c>
      <c r="E3" s="6" t="s">
        <v>1</v>
      </c>
      <c r="F3" s="6">
        <f>_xlfn.VAR.S(B2:B36)</f>
        <v>54.989788153416775</v>
      </c>
    </row>
    <row r="4" spans="1:11" x14ac:dyDescent="0.25">
      <c r="A4">
        <v>-0.62655544752487913</v>
      </c>
      <c r="B4">
        <v>-0.62655544752487913</v>
      </c>
      <c r="E4" s="6"/>
      <c r="F4" s="6"/>
      <c r="G4" s="4"/>
      <c r="H4" s="4"/>
      <c r="I4" s="4"/>
      <c r="J4" s="4"/>
    </row>
    <row r="5" spans="1:11" x14ac:dyDescent="0.25">
      <c r="A5">
        <v>-5.52792016605963</v>
      </c>
      <c r="B5">
        <v>-5.52792016605963</v>
      </c>
      <c r="E5" s="6"/>
      <c r="F5" s="6" t="s">
        <v>3</v>
      </c>
      <c r="G5" s="5"/>
      <c r="H5" s="5"/>
      <c r="I5" s="5"/>
      <c r="J5" s="5"/>
    </row>
    <row r="6" spans="1:11" x14ac:dyDescent="0.25">
      <c r="A6">
        <v>-0.4621892912837211</v>
      </c>
      <c r="B6">
        <v>-0.4621892912837211</v>
      </c>
      <c r="E6" s="6" t="s">
        <v>0</v>
      </c>
      <c r="F6" s="7">
        <f>AVERAGE(A2:A21)</f>
        <v>-1.7238893406101852</v>
      </c>
      <c r="G6" s="1"/>
      <c r="H6" s="1"/>
      <c r="I6" s="1"/>
      <c r="J6" s="1"/>
    </row>
    <row r="7" spans="1:11" x14ac:dyDescent="0.25">
      <c r="A7">
        <v>-5.9199351198913064</v>
      </c>
      <c r="B7">
        <v>-5.9199351198913064</v>
      </c>
      <c r="E7" s="6" t="s">
        <v>1</v>
      </c>
      <c r="F7" s="7">
        <f>AVERAGE(B2:B36)</f>
        <v>-2.2003573576512281</v>
      </c>
      <c r="G7" s="1"/>
      <c r="H7" s="1"/>
      <c r="I7" s="1"/>
      <c r="J7" s="1"/>
    </row>
    <row r="8" spans="1:11" x14ac:dyDescent="0.25">
      <c r="A8">
        <v>9.8446525953477249</v>
      </c>
      <c r="B8">
        <v>9.8446525953477249</v>
      </c>
      <c r="F8" s="1"/>
      <c r="G8" s="1"/>
      <c r="H8" s="1"/>
      <c r="I8" s="1"/>
      <c r="J8" s="1"/>
    </row>
    <row r="9" spans="1:11" x14ac:dyDescent="0.25">
      <c r="A9">
        <v>-2.5104236556217074</v>
      </c>
      <c r="B9">
        <v>-2.5104236556217074</v>
      </c>
      <c r="E9" s="4"/>
      <c r="F9" s="4"/>
      <c r="G9" s="4"/>
      <c r="H9" s="4"/>
      <c r="I9" s="4"/>
      <c r="J9" s="4"/>
      <c r="K9" s="4"/>
    </row>
    <row r="10" spans="1:11" x14ac:dyDescent="0.25">
      <c r="A10">
        <v>7.1415001912100706</v>
      </c>
      <c r="B10">
        <v>7.1415001912100706</v>
      </c>
      <c r="E10" t="s">
        <v>5</v>
      </c>
      <c r="H10" s="4"/>
      <c r="I10" s="4"/>
      <c r="J10" s="4"/>
      <c r="K10" s="4"/>
    </row>
    <row r="11" spans="1:11" ht="15.75" thickBot="1" x14ac:dyDescent="0.3">
      <c r="A11">
        <v>2.1543394268519478</v>
      </c>
      <c r="B11">
        <v>2.1543394268519478</v>
      </c>
      <c r="H11" s="4"/>
      <c r="I11" s="4"/>
      <c r="J11" s="4"/>
      <c r="K11" s="4"/>
    </row>
    <row r="12" spans="1:11" x14ac:dyDescent="0.25">
      <c r="A12">
        <v>-7.3445426096441224</v>
      </c>
      <c r="B12">
        <v>-7.3445426096441224</v>
      </c>
      <c r="E12" s="3"/>
      <c r="F12" s="3" t="s">
        <v>6</v>
      </c>
      <c r="G12" s="3" t="s">
        <v>7</v>
      </c>
      <c r="H12" s="5"/>
      <c r="I12" s="5"/>
      <c r="J12" s="4"/>
      <c r="K12" s="4"/>
    </row>
    <row r="13" spans="1:11" x14ac:dyDescent="0.25">
      <c r="A13">
        <v>7.7862637226644438</v>
      </c>
      <c r="B13">
        <v>7.7862637226644438</v>
      </c>
      <c r="E13" s="1" t="s">
        <v>4</v>
      </c>
      <c r="F13" s="1">
        <v>-1.7238893406101852</v>
      </c>
      <c r="G13" s="1">
        <v>-2.2003573576512281</v>
      </c>
      <c r="H13" s="1"/>
      <c r="I13" s="1"/>
      <c r="J13" s="4"/>
      <c r="K13" s="4"/>
    </row>
    <row r="14" spans="1:11" x14ac:dyDescent="0.25">
      <c r="A14">
        <v>5.0401536100252997</v>
      </c>
      <c r="B14">
        <v>5.0401536100252997</v>
      </c>
      <c r="E14" s="1" t="s">
        <v>8</v>
      </c>
      <c r="F14" s="1">
        <v>63</v>
      </c>
      <c r="G14" s="1">
        <v>55</v>
      </c>
      <c r="H14" s="1"/>
      <c r="I14" s="1"/>
      <c r="J14" s="4"/>
      <c r="K14" s="4"/>
    </row>
    <row r="15" spans="1:11" x14ac:dyDescent="0.25">
      <c r="A15">
        <v>0.76055357567383908</v>
      </c>
      <c r="B15">
        <v>0.76055357567383908</v>
      </c>
      <c r="E15" s="1" t="s">
        <v>9</v>
      </c>
      <c r="F15" s="1">
        <v>20</v>
      </c>
      <c r="G15" s="1">
        <v>35</v>
      </c>
      <c r="H15" s="1"/>
      <c r="I15" s="1"/>
      <c r="J15" s="4"/>
      <c r="K15" s="4"/>
    </row>
    <row r="16" spans="1:11" x14ac:dyDescent="0.25">
      <c r="A16">
        <v>-2.3693030470894882</v>
      </c>
      <c r="B16">
        <v>-2.3693030470894882</v>
      </c>
      <c r="E16" s="1" t="s">
        <v>10</v>
      </c>
      <c r="F16" s="1">
        <v>45778</v>
      </c>
      <c r="G16" s="1"/>
      <c r="H16" s="1"/>
      <c r="I16" s="1"/>
      <c r="J16" s="4"/>
      <c r="K16" s="4"/>
    </row>
    <row r="17" spans="1:11" x14ac:dyDescent="0.25">
      <c r="A17">
        <v>-6.1537275541923009</v>
      </c>
      <c r="B17">
        <v>-6.1537275541923009</v>
      </c>
      <c r="E17" s="1" t="s">
        <v>11</v>
      </c>
      <c r="F17" s="1">
        <v>-21067.625158161612</v>
      </c>
      <c r="G17" s="1"/>
      <c r="H17" s="1"/>
      <c r="I17" s="1"/>
      <c r="J17" s="4"/>
      <c r="K17" s="4"/>
    </row>
    <row r="18" spans="1:11" x14ac:dyDescent="0.25">
      <c r="A18">
        <v>-20.23414708673954</v>
      </c>
      <c r="B18">
        <v>-20.23414708673954</v>
      </c>
      <c r="E18" s="1" t="s">
        <v>12</v>
      </c>
      <c r="F18" s="1">
        <v>0</v>
      </c>
      <c r="G18" s="1"/>
      <c r="H18" s="1"/>
      <c r="I18" s="1"/>
      <c r="J18" s="4"/>
      <c r="K18" s="4"/>
    </row>
    <row r="19" spans="1:11" x14ac:dyDescent="0.25">
      <c r="A19">
        <v>4.4649038954958087</v>
      </c>
      <c r="B19">
        <v>4.4649038954958087</v>
      </c>
      <c r="E19" s="1" t="s">
        <v>13</v>
      </c>
      <c r="F19" s="1">
        <v>1.6448536269514715</v>
      </c>
      <c r="G19" s="1"/>
      <c r="H19" s="1"/>
      <c r="I19" s="1"/>
      <c r="J19" s="4"/>
      <c r="K19" s="4"/>
    </row>
    <row r="20" spans="1:11" x14ac:dyDescent="0.25">
      <c r="A20">
        <v>-0.30613136914325878</v>
      </c>
      <c r="B20">
        <v>-0.30613136914325878</v>
      </c>
      <c r="E20" s="1" t="s">
        <v>14</v>
      </c>
      <c r="F20" s="1">
        <v>0</v>
      </c>
      <c r="G20" s="1"/>
      <c r="H20" s="1"/>
      <c r="I20" s="1"/>
      <c r="J20" s="4"/>
      <c r="K20" s="4"/>
    </row>
    <row r="21" spans="1:11" ht="15.75" thickBot="1" x14ac:dyDescent="0.3">
      <c r="A21">
        <v>-0.46702780309715308</v>
      </c>
      <c r="B21">
        <v>-0.46702780309715308</v>
      </c>
      <c r="E21" s="2" t="s">
        <v>15</v>
      </c>
      <c r="F21" s="2">
        <v>1.9599639845400536</v>
      </c>
      <c r="G21" s="2"/>
      <c r="H21" s="1"/>
      <c r="I21" s="1"/>
      <c r="J21" s="4"/>
      <c r="K21" s="4"/>
    </row>
    <row r="22" spans="1:11" x14ac:dyDescent="0.25">
      <c r="B22">
        <v>-9.8952978078159504</v>
      </c>
      <c r="E22" s="1"/>
      <c r="F22" s="1"/>
      <c r="G22" s="1"/>
      <c r="H22" s="1"/>
      <c r="I22" s="1"/>
      <c r="J22" s="4"/>
      <c r="K22" s="4"/>
    </row>
    <row r="23" spans="1:11" x14ac:dyDescent="0.25">
      <c r="B23">
        <v>-4.0733903006184846</v>
      </c>
      <c r="E23" s="1"/>
      <c r="F23" s="1"/>
      <c r="G23" s="1"/>
      <c r="H23" s="1"/>
      <c r="I23" s="1"/>
      <c r="J23" s="4"/>
      <c r="K23" s="4"/>
    </row>
    <row r="24" spans="1:11" x14ac:dyDescent="0.25">
      <c r="B24">
        <v>7.8321500041056424</v>
      </c>
      <c r="E24" s="1"/>
      <c r="F24" s="1"/>
      <c r="G24" s="1"/>
      <c r="H24" s="1"/>
      <c r="I24" s="1"/>
      <c r="J24" s="4"/>
      <c r="K24" s="4"/>
    </row>
    <row r="25" spans="1:11" x14ac:dyDescent="0.25">
      <c r="B25">
        <v>-3.8926941670069937</v>
      </c>
      <c r="E25" s="1"/>
      <c r="F25" s="1"/>
      <c r="G25" s="1"/>
      <c r="H25" s="1"/>
      <c r="I25" s="1"/>
      <c r="J25" s="4"/>
      <c r="K25" s="4"/>
    </row>
    <row r="26" spans="1:11" x14ac:dyDescent="0.25">
      <c r="B26">
        <v>3.3292144507868215</v>
      </c>
      <c r="E26" s="1"/>
      <c r="F26" s="1"/>
      <c r="G26" s="1"/>
      <c r="H26" s="1"/>
      <c r="I26" s="1"/>
      <c r="J26" s="4"/>
      <c r="K26" s="4"/>
    </row>
    <row r="27" spans="1:11" x14ac:dyDescent="0.25">
      <c r="B27">
        <v>-1.7230513549293391</v>
      </c>
      <c r="E27" s="1"/>
      <c r="F27" s="1"/>
      <c r="G27" s="1"/>
      <c r="H27" s="1"/>
      <c r="I27" s="1"/>
      <c r="J27" s="4"/>
      <c r="K27" s="4"/>
    </row>
    <row r="28" spans="1:11" x14ac:dyDescent="0.25">
      <c r="B28">
        <v>-1.1741906291717896</v>
      </c>
      <c r="E28" s="1"/>
      <c r="F28" s="1"/>
      <c r="G28" s="1"/>
      <c r="H28" s="1"/>
      <c r="I28" s="1"/>
      <c r="J28" s="4"/>
      <c r="K28" s="4"/>
    </row>
    <row r="29" spans="1:11" x14ac:dyDescent="0.25">
      <c r="B29">
        <v>1.5562818589387462</v>
      </c>
      <c r="E29" s="1"/>
      <c r="F29" s="1"/>
      <c r="G29" s="1"/>
      <c r="H29" s="1"/>
      <c r="I29" s="1"/>
      <c r="J29" s="4"/>
      <c r="K29" s="4"/>
    </row>
    <row r="30" spans="1:11" x14ac:dyDescent="0.25">
      <c r="B30">
        <v>-1.2073360267095268</v>
      </c>
      <c r="E30" s="1"/>
      <c r="F30" s="1"/>
      <c r="G30" s="1"/>
      <c r="H30" s="1"/>
      <c r="I30" s="1"/>
      <c r="J30" s="4"/>
      <c r="K30" s="4"/>
    </row>
    <row r="31" spans="1:11" x14ac:dyDescent="0.25">
      <c r="B31">
        <v>-2.8917747840750962</v>
      </c>
      <c r="E31" s="1"/>
      <c r="F31" s="1"/>
      <c r="G31" s="1"/>
      <c r="H31" s="1"/>
      <c r="I31" s="1"/>
      <c r="J31" s="4"/>
      <c r="K31" s="4"/>
    </row>
    <row r="32" spans="1:11" x14ac:dyDescent="0.25">
      <c r="B32">
        <v>3.9918518268677872</v>
      </c>
      <c r="E32" s="1"/>
      <c r="F32" s="1"/>
      <c r="G32" s="1"/>
      <c r="H32" s="1"/>
      <c r="I32" s="1"/>
      <c r="J32" s="4"/>
      <c r="K32" s="4"/>
    </row>
    <row r="33" spans="2:11" x14ac:dyDescent="0.25">
      <c r="B33">
        <v>0.58516548051557038</v>
      </c>
      <c r="E33" s="1"/>
      <c r="F33" s="1"/>
      <c r="G33" s="1"/>
      <c r="H33" s="1"/>
      <c r="I33" s="1"/>
      <c r="J33" s="4"/>
      <c r="K33" s="4"/>
    </row>
    <row r="34" spans="2:11" x14ac:dyDescent="0.25">
      <c r="B34">
        <v>-20.5713149625808</v>
      </c>
      <c r="E34" s="1"/>
      <c r="F34" s="1"/>
      <c r="G34" s="1"/>
      <c r="H34" s="1"/>
      <c r="I34" s="1"/>
      <c r="J34" s="4"/>
      <c r="K34" s="4"/>
    </row>
    <row r="35" spans="2:11" x14ac:dyDescent="0.25">
      <c r="B35">
        <v>-10.79994035535492</v>
      </c>
      <c r="E35" s="1"/>
      <c r="F35" s="1"/>
      <c r="G35" s="1"/>
      <c r="H35" s="1"/>
      <c r="I35" s="1"/>
      <c r="J35" s="4"/>
      <c r="K35" s="4"/>
    </row>
    <row r="36" spans="2:11" x14ac:dyDescent="0.25">
      <c r="B36">
        <v>-3.6003939385409467</v>
      </c>
      <c r="E36" s="1"/>
      <c r="F36" s="1"/>
      <c r="G36" s="1"/>
      <c r="H36" s="1"/>
      <c r="I36" s="1"/>
      <c r="J36" s="4"/>
      <c r="K36" s="4"/>
    </row>
    <row r="37" spans="2:11" x14ac:dyDescent="0.25">
      <c r="E37" s="1"/>
      <c r="F37" s="1"/>
      <c r="G37" s="1"/>
      <c r="H37" s="1"/>
      <c r="I37" s="1"/>
      <c r="J37" s="4"/>
      <c r="K37" s="4"/>
    </row>
    <row r="38" spans="2:11" x14ac:dyDescent="0.25">
      <c r="E38" s="1"/>
      <c r="F38" s="1"/>
      <c r="G38" s="1"/>
      <c r="H38" s="1"/>
      <c r="I38" s="1"/>
      <c r="J38" s="4"/>
      <c r="K38" s="4"/>
    </row>
    <row r="39" spans="2:11" x14ac:dyDescent="0.25">
      <c r="E39" s="1"/>
      <c r="F39" s="1"/>
      <c r="G39" s="1"/>
      <c r="H39" s="1"/>
      <c r="I39" s="1"/>
      <c r="J39" s="4"/>
      <c r="K39" s="4"/>
    </row>
    <row r="40" spans="2:11" x14ac:dyDescent="0.25">
      <c r="E40" s="1"/>
      <c r="F40" s="1"/>
      <c r="G40" s="1"/>
      <c r="H40" s="1"/>
      <c r="I40" s="1"/>
      <c r="J40" s="4"/>
      <c r="K40" s="4"/>
    </row>
    <row r="41" spans="2:11" x14ac:dyDescent="0.25">
      <c r="E41" s="1"/>
      <c r="F41" s="1"/>
      <c r="G41" s="1"/>
      <c r="H41" s="1"/>
      <c r="I41" s="1"/>
      <c r="J41" s="4"/>
      <c r="K41" s="4"/>
    </row>
    <row r="42" spans="2:11" x14ac:dyDescent="0.25">
      <c r="E42" s="1"/>
      <c r="F42" s="1"/>
      <c r="G42" s="1"/>
      <c r="H42" s="1"/>
      <c r="I42" s="1"/>
      <c r="J42" s="4"/>
      <c r="K42" s="4"/>
    </row>
    <row r="43" spans="2:11" x14ac:dyDescent="0.25">
      <c r="E43" s="1"/>
      <c r="F43" s="1"/>
      <c r="G43" s="1"/>
      <c r="H43" s="1"/>
      <c r="I43" s="1"/>
      <c r="J43" s="4"/>
      <c r="K43" s="4"/>
    </row>
    <row r="44" spans="2:11" x14ac:dyDescent="0.25">
      <c r="E44" s="1"/>
      <c r="F44" s="1"/>
      <c r="G44" s="1"/>
      <c r="H44" s="1"/>
      <c r="I44" s="1"/>
      <c r="J44" s="4"/>
      <c r="K44" s="4"/>
    </row>
    <row r="45" spans="2:11" x14ac:dyDescent="0.25">
      <c r="E45" s="1"/>
      <c r="F45" s="1"/>
      <c r="G45" s="1"/>
      <c r="H45" s="1"/>
      <c r="I45" s="1"/>
      <c r="J45" s="4"/>
      <c r="K45" s="4"/>
    </row>
    <row r="46" spans="2:11" x14ac:dyDescent="0.25">
      <c r="E46" s="1"/>
      <c r="F46" s="1"/>
      <c r="G46" s="1"/>
      <c r="H46" s="1"/>
      <c r="I46" s="1"/>
      <c r="J46" s="4"/>
      <c r="K46" s="4"/>
    </row>
    <row r="47" spans="2:11" x14ac:dyDescent="0.25">
      <c r="E47" s="1"/>
      <c r="F47" s="1"/>
      <c r="G47" s="1"/>
      <c r="H47" s="1"/>
      <c r="I47" s="1"/>
      <c r="J47" s="4"/>
      <c r="K47" s="4"/>
    </row>
    <row r="48" spans="2:11" x14ac:dyDescent="0.25">
      <c r="E48" s="4"/>
      <c r="F48" s="4"/>
      <c r="G48" s="4"/>
      <c r="H48" s="4"/>
      <c r="I48" s="4"/>
      <c r="J48" s="4"/>
      <c r="K48" s="4"/>
    </row>
    <row r="49" spans="5:11" x14ac:dyDescent="0.25">
      <c r="E49" s="4"/>
      <c r="F49" s="4"/>
      <c r="G49" s="4"/>
      <c r="H49" s="4"/>
      <c r="I49" s="4"/>
      <c r="J49" s="4"/>
      <c r="K49" s="4"/>
    </row>
    <row r="50" spans="5:11" x14ac:dyDescent="0.25">
      <c r="E50" s="4"/>
      <c r="F50" s="4"/>
      <c r="G50" s="4"/>
      <c r="H50" s="4"/>
      <c r="I50" s="4"/>
      <c r="J50" s="4"/>
      <c r="K50" s="4"/>
    </row>
    <row r="51" spans="5:11" x14ac:dyDescent="0.25">
      <c r="E51" s="5"/>
      <c r="F51" s="5"/>
      <c r="G51" s="5"/>
      <c r="H51" s="5"/>
      <c r="I51" s="5"/>
      <c r="J51" s="5"/>
      <c r="K51" s="5"/>
    </row>
    <row r="52" spans="5:11" x14ac:dyDescent="0.25">
      <c r="E52" s="1"/>
      <c r="F52" s="1"/>
      <c r="G52" s="1"/>
      <c r="H52" s="1"/>
      <c r="I52" s="1"/>
      <c r="J52" s="1"/>
      <c r="K52" s="1"/>
    </row>
    <row r="53" spans="5:11" x14ac:dyDescent="0.25">
      <c r="E53" s="1"/>
      <c r="F53" s="1"/>
      <c r="G53" s="1"/>
      <c r="H53" s="1"/>
      <c r="I53" s="1"/>
      <c r="J53" s="1"/>
      <c r="K53" s="1"/>
    </row>
    <row r="54" spans="5:11" x14ac:dyDescent="0.25">
      <c r="E54" s="1"/>
      <c r="F54" s="1"/>
      <c r="G54" s="1"/>
      <c r="H54" s="1"/>
      <c r="I54" s="1"/>
      <c r="J54" s="1"/>
      <c r="K54" s="1"/>
    </row>
    <row r="55" spans="5:11" x14ac:dyDescent="0.25">
      <c r="E55" s="1"/>
      <c r="F55" s="1"/>
      <c r="G55" s="1"/>
      <c r="H55" s="1"/>
      <c r="I55" s="1"/>
      <c r="J55" s="1"/>
      <c r="K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5C8A-3384-4ADD-B8DD-5A41121C8CE5}">
  <dimension ref="A1:G21"/>
  <sheetViews>
    <sheetView workbookViewId="0">
      <selection activeCell="F7" sqref="F7"/>
    </sheetView>
  </sheetViews>
  <sheetFormatPr defaultRowHeight="15" x14ac:dyDescent="0.25"/>
  <cols>
    <col min="1" max="1" width="18.42578125" customWidth="1"/>
    <col min="2" max="2" width="18.28515625" customWidth="1"/>
    <col min="5" max="5" width="17.140625" customWidth="1"/>
    <col min="6" max="6" width="28" customWidth="1"/>
    <col min="7" max="7" width="18.42578125" customWidth="1"/>
  </cols>
  <sheetData>
    <row r="1" spans="1:7" x14ac:dyDescent="0.25">
      <c r="A1" t="s">
        <v>0</v>
      </c>
      <c r="B1" t="s">
        <v>1</v>
      </c>
      <c r="E1" s="6"/>
      <c r="F1" s="6" t="s">
        <v>2</v>
      </c>
    </row>
    <row r="2" spans="1:7" x14ac:dyDescent="0.25">
      <c r="A2">
        <v>-20.304942154325545</v>
      </c>
      <c r="B2">
        <v>-18.304942154325545</v>
      </c>
      <c r="E2" s="6" t="s">
        <v>0</v>
      </c>
      <c r="F2" s="6">
        <f>_xlfn.VAR.S(A2:A21)</f>
        <v>62.733457698858587</v>
      </c>
    </row>
    <row r="3" spans="1:7" x14ac:dyDescent="0.25">
      <c r="A3">
        <v>0.55669147513981443</v>
      </c>
      <c r="B3">
        <v>2.5566914751398144</v>
      </c>
      <c r="E3" s="6" t="s">
        <v>1</v>
      </c>
      <c r="F3" s="6">
        <f>_xlfn.VAR.S(B2:B21)</f>
        <v>62.733457698858587</v>
      </c>
    </row>
    <row r="4" spans="1:7" x14ac:dyDescent="0.25">
      <c r="A4">
        <v>-0.62655544752487913</v>
      </c>
      <c r="B4">
        <v>1.3734445524751209</v>
      </c>
      <c r="E4" s="6"/>
      <c r="F4" s="6"/>
    </row>
    <row r="5" spans="1:7" x14ac:dyDescent="0.25">
      <c r="A5">
        <v>-5.52792016605963</v>
      </c>
      <c r="B5">
        <v>-3.52792016605963</v>
      </c>
      <c r="E5" s="6"/>
      <c r="F5" s="6" t="s">
        <v>3</v>
      </c>
    </row>
    <row r="6" spans="1:7" x14ac:dyDescent="0.25">
      <c r="A6">
        <v>-0.4621892912837211</v>
      </c>
      <c r="B6">
        <v>1.5378107087162789</v>
      </c>
      <c r="E6" s="6" t="s">
        <v>0</v>
      </c>
      <c r="F6" s="7">
        <f>AVERAGE(A2:A21)</f>
        <v>-1.7238893406101852</v>
      </c>
    </row>
    <row r="7" spans="1:7" x14ac:dyDescent="0.25">
      <c r="A7">
        <v>-5.9199351198913064</v>
      </c>
      <c r="B7">
        <v>-3.9199351198913064</v>
      </c>
      <c r="E7" s="6" t="s">
        <v>1</v>
      </c>
      <c r="F7" s="7">
        <f>AVERAGE(B2:B21)</f>
        <v>0.27611065938981483</v>
      </c>
    </row>
    <row r="8" spans="1:7" x14ac:dyDescent="0.25">
      <c r="A8">
        <v>9.8446525953477249</v>
      </c>
      <c r="B8">
        <v>11.844652595347725</v>
      </c>
    </row>
    <row r="9" spans="1:7" x14ac:dyDescent="0.25">
      <c r="A9">
        <v>-2.5104236556217074</v>
      </c>
      <c r="B9">
        <v>-0.51042365562170744</v>
      </c>
    </row>
    <row r="10" spans="1:7" x14ac:dyDescent="0.25">
      <c r="A10">
        <v>7.1415001912100706</v>
      </c>
      <c r="B10">
        <v>9.1415001912100706</v>
      </c>
      <c r="E10" t="s">
        <v>5</v>
      </c>
    </row>
    <row r="11" spans="1:7" ht="15.75" thickBot="1" x14ac:dyDescent="0.3">
      <c r="A11">
        <v>2.1543394268519478</v>
      </c>
      <c r="B11">
        <v>4.1543394268519478</v>
      </c>
    </row>
    <row r="12" spans="1:7" x14ac:dyDescent="0.25">
      <c r="A12">
        <v>-7.3445426096441224</v>
      </c>
      <c r="B12">
        <v>-5.3445426096441224</v>
      </c>
      <c r="E12" s="3"/>
      <c r="F12" s="3" t="s">
        <v>6</v>
      </c>
      <c r="G12" s="3" t="s">
        <v>7</v>
      </c>
    </row>
    <row r="13" spans="1:7" x14ac:dyDescent="0.25">
      <c r="A13">
        <v>7.7862637226644438</v>
      </c>
      <c r="B13">
        <v>9.7862637226644438</v>
      </c>
      <c r="E13" s="1" t="s">
        <v>4</v>
      </c>
      <c r="F13" s="1">
        <v>-1.7238893406101852</v>
      </c>
      <c r="G13" s="1">
        <v>0.27611065938981483</v>
      </c>
    </row>
    <row r="14" spans="1:7" x14ac:dyDescent="0.25">
      <c r="A14">
        <v>5.0401536100252997</v>
      </c>
      <c r="B14">
        <v>7.0401536100252997</v>
      </c>
      <c r="E14" s="1" t="s">
        <v>8</v>
      </c>
      <c r="F14" s="1">
        <v>63</v>
      </c>
      <c r="G14" s="1">
        <v>63</v>
      </c>
    </row>
    <row r="15" spans="1:7" x14ac:dyDescent="0.25">
      <c r="A15">
        <v>0.76055357567383908</v>
      </c>
      <c r="B15">
        <v>2.7605535756738391</v>
      </c>
      <c r="E15" s="1" t="s">
        <v>9</v>
      </c>
      <c r="F15" s="1">
        <v>20</v>
      </c>
      <c r="G15" s="1">
        <v>20</v>
      </c>
    </row>
    <row r="16" spans="1:7" x14ac:dyDescent="0.25">
      <c r="A16">
        <v>-2.3693030470894882</v>
      </c>
      <c r="B16">
        <v>-0.36930304708948825</v>
      </c>
      <c r="E16" s="1" t="s">
        <v>10</v>
      </c>
      <c r="F16" s="1">
        <v>45778</v>
      </c>
      <c r="G16" s="1"/>
    </row>
    <row r="17" spans="1:7" x14ac:dyDescent="0.25">
      <c r="A17">
        <v>-6.1537275541923009</v>
      </c>
      <c r="B17">
        <v>-4.1537275541923009</v>
      </c>
      <c r="E17" s="1" t="s">
        <v>11</v>
      </c>
      <c r="F17" s="1">
        <v>-18239.188578442845</v>
      </c>
      <c r="G17" s="1"/>
    </row>
    <row r="18" spans="1:7" x14ac:dyDescent="0.25">
      <c r="A18">
        <v>-20.23414708673954</v>
      </c>
      <c r="B18">
        <v>-18.23414708673954</v>
      </c>
      <c r="E18" s="1" t="s">
        <v>12</v>
      </c>
      <c r="F18" s="1">
        <v>0</v>
      </c>
      <c r="G18" s="1"/>
    </row>
    <row r="19" spans="1:7" x14ac:dyDescent="0.25">
      <c r="A19">
        <v>4.4649038954958087</v>
      </c>
      <c r="B19">
        <v>6.4649038954958087</v>
      </c>
      <c r="E19" s="1" t="s">
        <v>13</v>
      </c>
      <c r="F19" s="1">
        <v>1.6448536269514715</v>
      </c>
      <c r="G19" s="1"/>
    </row>
    <row r="20" spans="1:7" x14ac:dyDescent="0.25">
      <c r="A20">
        <v>-0.30613136914325878</v>
      </c>
      <c r="B20">
        <v>1.6938686308567412</v>
      </c>
      <c r="E20" s="1" t="s">
        <v>14</v>
      </c>
      <c r="F20" s="1">
        <v>0</v>
      </c>
      <c r="G20" s="1"/>
    </row>
    <row r="21" spans="1:7" ht="15.75" thickBot="1" x14ac:dyDescent="0.3">
      <c r="A21">
        <v>-0.46702780309715308</v>
      </c>
      <c r="B21">
        <v>1.5329721969028469</v>
      </c>
      <c r="E21" s="2" t="s">
        <v>15</v>
      </c>
      <c r="F21" s="2">
        <v>1.9599639845400536</v>
      </c>
      <c r="G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E37F9-26D1-4419-9DB6-40586E940291}">
  <dimension ref="A1:H22"/>
  <sheetViews>
    <sheetView workbookViewId="0">
      <selection activeCell="G15" sqref="G15"/>
    </sheetView>
  </sheetViews>
  <sheetFormatPr defaultRowHeight="15" x14ac:dyDescent="0.25"/>
  <cols>
    <col min="1" max="2" width="18.28515625" customWidth="1"/>
    <col min="6" max="6" width="13.140625" customWidth="1"/>
    <col min="7" max="7" width="27.42578125" customWidth="1"/>
    <col min="8" max="8" width="19" customWidth="1"/>
  </cols>
  <sheetData>
    <row r="1" spans="1:8" x14ac:dyDescent="0.25">
      <c r="A1" t="s">
        <v>0</v>
      </c>
      <c r="B1" t="s">
        <v>1</v>
      </c>
      <c r="F1" s="6"/>
      <c r="G1" s="6" t="s">
        <v>2</v>
      </c>
    </row>
    <row r="2" spans="1:8" x14ac:dyDescent="0.25">
      <c r="A2">
        <v>-19.304942154325545</v>
      </c>
      <c r="B2">
        <v>-16.304942154325545</v>
      </c>
      <c r="F2" s="6" t="s">
        <v>0</v>
      </c>
      <c r="G2" s="6">
        <f>_xlfn.VAR.S(A2:A21)</f>
        <v>62.733457698858587</v>
      </c>
    </row>
    <row r="3" spans="1:8" x14ac:dyDescent="0.25">
      <c r="A3">
        <v>1.5566914751398144</v>
      </c>
      <c r="B3">
        <v>4.5566914751398144</v>
      </c>
      <c r="F3" s="6" t="s">
        <v>1</v>
      </c>
      <c r="G3" s="6">
        <f>_xlfn.VAR.S(B2:B21)</f>
        <v>62.733457698858587</v>
      </c>
    </row>
    <row r="4" spans="1:8" x14ac:dyDescent="0.25">
      <c r="A4">
        <v>0.37344455247512087</v>
      </c>
      <c r="B4">
        <v>3.3734445524751209</v>
      </c>
      <c r="F4" s="6"/>
      <c r="G4" s="6"/>
    </row>
    <row r="5" spans="1:8" x14ac:dyDescent="0.25">
      <c r="A5">
        <v>-4.52792016605963</v>
      </c>
      <c r="B5">
        <v>-1.52792016605963</v>
      </c>
      <c r="F5" s="6"/>
      <c r="G5" s="6" t="s">
        <v>3</v>
      </c>
    </row>
    <row r="6" spans="1:8" x14ac:dyDescent="0.25">
      <c r="A6">
        <v>0.5378107087162789</v>
      </c>
      <c r="B6">
        <v>3.5378107087162789</v>
      </c>
      <c r="F6" s="6" t="s">
        <v>0</v>
      </c>
      <c r="G6" s="7">
        <f>AVERAGE(A2:A21)</f>
        <v>-0.72388934061018517</v>
      </c>
    </row>
    <row r="7" spans="1:8" x14ac:dyDescent="0.25">
      <c r="A7">
        <v>-4.9199351198913064</v>
      </c>
      <c r="B7">
        <v>-1.9199351198913064</v>
      </c>
      <c r="F7" s="6" t="s">
        <v>1</v>
      </c>
      <c r="G7" s="7">
        <f>AVERAGE(B2:B21)</f>
        <v>2.2761106593898148</v>
      </c>
    </row>
    <row r="8" spans="1:8" x14ac:dyDescent="0.25">
      <c r="A8">
        <v>10.844652595347725</v>
      </c>
      <c r="B8">
        <v>13.844652595347725</v>
      </c>
    </row>
    <row r="9" spans="1:8" x14ac:dyDescent="0.25">
      <c r="A9">
        <v>-1.5104236556217074</v>
      </c>
      <c r="B9">
        <v>1.4895763443782926</v>
      </c>
    </row>
    <row r="10" spans="1:8" x14ac:dyDescent="0.25">
      <c r="A10">
        <v>8.1415001912100706</v>
      </c>
      <c r="B10">
        <v>11.141500191210071</v>
      </c>
    </row>
    <row r="11" spans="1:8" x14ac:dyDescent="0.25">
      <c r="A11">
        <v>3.1543394268519478</v>
      </c>
      <c r="B11">
        <v>6.1543394268519478</v>
      </c>
      <c r="F11" t="s">
        <v>5</v>
      </c>
    </row>
    <row r="12" spans="1:8" ht="15.75" thickBot="1" x14ac:dyDescent="0.3">
      <c r="A12">
        <v>-6.3445426096441224</v>
      </c>
      <c r="B12">
        <v>-3.3445426096441224</v>
      </c>
    </row>
    <row r="13" spans="1:8" x14ac:dyDescent="0.25">
      <c r="A13">
        <v>8.7862637226644438</v>
      </c>
      <c r="B13">
        <v>11.786263722664444</v>
      </c>
      <c r="F13" s="3"/>
      <c r="G13" s="3" t="s">
        <v>6</v>
      </c>
      <c r="H13" s="3" t="s">
        <v>7</v>
      </c>
    </row>
    <row r="14" spans="1:8" x14ac:dyDescent="0.25">
      <c r="A14">
        <v>6.0401536100252997</v>
      </c>
      <c r="B14">
        <v>9.0401536100252997</v>
      </c>
      <c r="F14" s="1" t="s">
        <v>4</v>
      </c>
      <c r="G14" s="1">
        <v>-0.72388934061018517</v>
      </c>
      <c r="H14" s="1">
        <v>2.2761106593898148</v>
      </c>
    </row>
    <row r="15" spans="1:8" x14ac:dyDescent="0.25">
      <c r="A15">
        <v>1.7605535756738391</v>
      </c>
      <c r="B15">
        <v>4.7605535756738391</v>
      </c>
      <c r="F15" s="1" t="s">
        <v>8</v>
      </c>
      <c r="G15" s="1">
        <v>63</v>
      </c>
      <c r="H15" s="1">
        <v>63</v>
      </c>
    </row>
    <row r="16" spans="1:8" x14ac:dyDescent="0.25">
      <c r="A16">
        <v>-1.3693030470894882</v>
      </c>
      <c r="B16">
        <v>1.6306969529105118</v>
      </c>
      <c r="F16" s="1" t="s">
        <v>9</v>
      </c>
      <c r="G16" s="1">
        <v>20</v>
      </c>
      <c r="H16" s="1">
        <v>20</v>
      </c>
    </row>
    <row r="17" spans="1:8" x14ac:dyDescent="0.25">
      <c r="A17">
        <v>-5.1537275541923009</v>
      </c>
      <c r="B17">
        <v>-2.1537275541923009</v>
      </c>
      <c r="F17" s="1" t="s">
        <v>10</v>
      </c>
      <c r="G17" s="1">
        <v>45778</v>
      </c>
      <c r="H17" s="1"/>
    </row>
    <row r="18" spans="1:8" x14ac:dyDescent="0.25">
      <c r="A18">
        <v>-19.23414708673954</v>
      </c>
      <c r="B18">
        <v>-16.23414708673954</v>
      </c>
      <c r="F18" s="1" t="s">
        <v>11</v>
      </c>
      <c r="G18" s="1">
        <v>-18239.586987979292</v>
      </c>
      <c r="H18" s="1"/>
    </row>
    <row r="19" spans="1:8" x14ac:dyDescent="0.25">
      <c r="A19">
        <v>5.4649038954958087</v>
      </c>
      <c r="B19">
        <v>8.4649038954958087</v>
      </c>
      <c r="F19" s="1" t="s">
        <v>12</v>
      </c>
      <c r="G19" s="1">
        <v>0</v>
      </c>
      <c r="H19" s="1"/>
    </row>
    <row r="20" spans="1:8" x14ac:dyDescent="0.25">
      <c r="A20">
        <v>0.69386863085674122</v>
      </c>
      <c r="B20">
        <v>3.6938686308567412</v>
      </c>
      <c r="F20" s="1" t="s">
        <v>13</v>
      </c>
      <c r="G20" s="1">
        <v>1.6448536269514715</v>
      </c>
      <c r="H20" s="1"/>
    </row>
    <row r="21" spans="1:8" x14ac:dyDescent="0.25">
      <c r="A21">
        <v>0.53297219690284692</v>
      </c>
      <c r="B21">
        <v>3.5329721969028469</v>
      </c>
      <c r="F21" s="1" t="s">
        <v>14</v>
      </c>
      <c r="G21" s="1">
        <v>0</v>
      </c>
      <c r="H21" s="1"/>
    </row>
    <row r="22" spans="1:8" ht="15.75" thickBot="1" x14ac:dyDescent="0.3">
      <c r="F22" s="2" t="s">
        <v>15</v>
      </c>
      <c r="G22" s="2">
        <v>1.9599639845400536</v>
      </c>
      <c r="H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A41E-DB3D-465C-896D-1821B26C9D13}">
  <dimension ref="A1:H21"/>
  <sheetViews>
    <sheetView workbookViewId="0">
      <selection activeCell="G3" sqref="G3"/>
    </sheetView>
  </sheetViews>
  <sheetFormatPr defaultRowHeight="15" x14ac:dyDescent="0.25"/>
  <cols>
    <col min="1" max="1" width="18.42578125" customWidth="1"/>
    <col min="2" max="2" width="18.5703125" customWidth="1"/>
    <col min="6" max="6" width="12" customWidth="1"/>
    <col min="7" max="7" width="27.7109375" customWidth="1"/>
    <col min="8" max="8" width="17.85546875" customWidth="1"/>
  </cols>
  <sheetData>
    <row r="1" spans="1:8" x14ac:dyDescent="0.25">
      <c r="A1" t="s">
        <v>0</v>
      </c>
      <c r="B1" t="s">
        <v>1</v>
      </c>
      <c r="F1" s="6"/>
      <c r="G1" s="6" t="s">
        <v>2</v>
      </c>
    </row>
    <row r="2" spans="1:8" x14ac:dyDescent="0.25">
      <c r="A2">
        <v>-18.304942154325545</v>
      </c>
      <c r="B2">
        <v>-16.304942154325545</v>
      </c>
      <c r="F2" s="6" t="s">
        <v>0</v>
      </c>
      <c r="G2" s="6">
        <f>_xlfn.VAR.S(A2:A21)</f>
        <v>62.733457698858587</v>
      </c>
    </row>
    <row r="3" spans="1:8" x14ac:dyDescent="0.25">
      <c r="A3">
        <v>2.5566914751398144</v>
      </c>
      <c r="B3">
        <v>4.5566914751398144</v>
      </c>
      <c r="F3" s="6" t="s">
        <v>1</v>
      </c>
      <c r="G3" s="6">
        <f>_xlfn.VAR.S(B2:B21)</f>
        <v>62.733457698858587</v>
      </c>
    </row>
    <row r="4" spans="1:8" x14ac:dyDescent="0.25">
      <c r="A4">
        <v>1.3734445524751209</v>
      </c>
      <c r="B4">
        <v>3.3734445524751209</v>
      </c>
      <c r="F4" s="6"/>
      <c r="G4" s="6"/>
    </row>
    <row r="5" spans="1:8" x14ac:dyDescent="0.25">
      <c r="A5">
        <v>-3.52792016605963</v>
      </c>
      <c r="B5">
        <v>-1.52792016605963</v>
      </c>
      <c r="F5" s="6"/>
      <c r="G5" s="6" t="s">
        <v>3</v>
      </c>
    </row>
    <row r="6" spans="1:8" x14ac:dyDescent="0.25">
      <c r="A6">
        <v>1.5378107087162789</v>
      </c>
      <c r="B6">
        <v>3.5378107087162789</v>
      </c>
      <c r="F6" s="6" t="s">
        <v>0</v>
      </c>
      <c r="G6" s="7">
        <f>AVERAGE(A2:A21)</f>
        <v>0.27611065938981483</v>
      </c>
    </row>
    <row r="7" spans="1:8" x14ac:dyDescent="0.25">
      <c r="A7">
        <v>-3.9199351198913064</v>
      </c>
      <c r="B7">
        <v>-1.9199351198913064</v>
      </c>
      <c r="F7" s="6" t="s">
        <v>1</v>
      </c>
      <c r="G7" s="7">
        <f>AVERAGE(B2:B21)</f>
        <v>2.2761106593898148</v>
      </c>
    </row>
    <row r="8" spans="1:8" x14ac:dyDescent="0.25">
      <c r="A8">
        <v>11.844652595347725</v>
      </c>
      <c r="B8">
        <v>13.844652595347725</v>
      </c>
    </row>
    <row r="9" spans="1:8" x14ac:dyDescent="0.25">
      <c r="A9">
        <v>-0.51042365562170744</v>
      </c>
      <c r="B9">
        <v>1.4895763443782926</v>
      </c>
    </row>
    <row r="10" spans="1:8" x14ac:dyDescent="0.25">
      <c r="A10">
        <v>9.1415001912100706</v>
      </c>
      <c r="B10">
        <v>11.141500191210071</v>
      </c>
      <c r="F10" t="s">
        <v>5</v>
      </c>
    </row>
    <row r="11" spans="1:8" ht="15.75" thickBot="1" x14ac:dyDescent="0.3">
      <c r="A11">
        <v>4.1543394268519478</v>
      </c>
      <c r="B11">
        <v>6.1543394268519478</v>
      </c>
    </row>
    <row r="12" spans="1:8" x14ac:dyDescent="0.25">
      <c r="A12">
        <v>-5.3445426096441224</v>
      </c>
      <c r="B12">
        <v>-3.3445426096441224</v>
      </c>
      <c r="F12" s="3"/>
      <c r="G12" s="3" t="s">
        <v>6</v>
      </c>
      <c r="H12" s="3" t="s">
        <v>7</v>
      </c>
    </row>
    <row r="13" spans="1:8" x14ac:dyDescent="0.25">
      <c r="A13">
        <v>9.7862637226644438</v>
      </c>
      <c r="B13">
        <v>11.786263722664444</v>
      </c>
      <c r="F13" s="1" t="s">
        <v>4</v>
      </c>
      <c r="G13" s="1">
        <v>0.27611065938981483</v>
      </c>
      <c r="H13" s="1">
        <v>2.2761106593898148</v>
      </c>
    </row>
    <row r="14" spans="1:8" x14ac:dyDescent="0.25">
      <c r="A14">
        <v>7.0401536100252997</v>
      </c>
      <c r="B14">
        <v>9.0401536100252997</v>
      </c>
      <c r="F14" s="1" t="s">
        <v>8</v>
      </c>
      <c r="G14" s="1">
        <v>63</v>
      </c>
      <c r="H14" s="1">
        <v>63</v>
      </c>
    </row>
    <row r="15" spans="1:8" x14ac:dyDescent="0.25">
      <c r="A15">
        <v>2.7605535756738391</v>
      </c>
      <c r="B15">
        <v>4.7605535756738391</v>
      </c>
      <c r="F15" s="1" t="s">
        <v>9</v>
      </c>
      <c r="G15" s="1">
        <v>20</v>
      </c>
      <c r="H15" s="1">
        <v>20</v>
      </c>
    </row>
    <row r="16" spans="1:8" x14ac:dyDescent="0.25">
      <c r="A16">
        <v>-0.36930304708948825</v>
      </c>
      <c r="B16">
        <v>1.6306969529105118</v>
      </c>
      <c r="F16" s="1" t="s">
        <v>10</v>
      </c>
      <c r="G16" s="1">
        <v>45778</v>
      </c>
      <c r="H16" s="1"/>
    </row>
    <row r="17" spans="1:8" x14ac:dyDescent="0.25">
      <c r="A17">
        <v>-4.1537275541923009</v>
      </c>
      <c r="B17">
        <v>-2.1537275541923009</v>
      </c>
      <c r="F17" s="1" t="s">
        <v>11</v>
      </c>
      <c r="G17" s="1">
        <v>-18239.188578442845</v>
      </c>
      <c r="H17" s="1"/>
    </row>
    <row r="18" spans="1:8" x14ac:dyDescent="0.25">
      <c r="A18">
        <v>-18.23414708673954</v>
      </c>
      <c r="B18">
        <v>-16.23414708673954</v>
      </c>
      <c r="F18" s="1" t="s">
        <v>12</v>
      </c>
      <c r="G18" s="1">
        <v>0</v>
      </c>
      <c r="H18" s="1"/>
    </row>
    <row r="19" spans="1:8" x14ac:dyDescent="0.25">
      <c r="A19">
        <v>6.4649038954958087</v>
      </c>
      <c r="B19">
        <v>8.4649038954958087</v>
      </c>
      <c r="F19" s="1" t="s">
        <v>13</v>
      </c>
      <c r="G19" s="1">
        <v>1.6448536269514715</v>
      </c>
      <c r="H19" s="1"/>
    </row>
    <row r="20" spans="1:8" x14ac:dyDescent="0.25">
      <c r="A20">
        <v>1.6938686308567412</v>
      </c>
      <c r="B20">
        <v>3.6938686308567412</v>
      </c>
      <c r="F20" s="1" t="s">
        <v>14</v>
      </c>
      <c r="G20" s="1">
        <v>0</v>
      </c>
      <c r="H20" s="1"/>
    </row>
    <row r="21" spans="1:8" ht="15.75" thickBot="1" x14ac:dyDescent="0.3">
      <c r="A21">
        <v>1.5329721969028469</v>
      </c>
      <c r="B21">
        <v>3.5329721969028469</v>
      </c>
      <c r="F21" s="2" t="s">
        <v>15</v>
      </c>
      <c r="G21" s="2">
        <v>1.9599639845400536</v>
      </c>
      <c r="H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D27F-2D42-48A8-8CF7-961A09CBA41C}">
  <dimension ref="A1:H21"/>
  <sheetViews>
    <sheetView workbookViewId="0">
      <selection activeCell="F1" sqref="F1:G7"/>
    </sheetView>
  </sheetViews>
  <sheetFormatPr defaultRowHeight="15" x14ac:dyDescent="0.25"/>
  <cols>
    <col min="1" max="2" width="18.28515625" customWidth="1"/>
    <col min="6" max="6" width="12.42578125" customWidth="1"/>
    <col min="7" max="7" width="27.140625" customWidth="1"/>
    <col min="8" max="8" width="18" customWidth="1"/>
  </cols>
  <sheetData>
    <row r="1" spans="1:8" x14ac:dyDescent="0.25">
      <c r="A1" t="s">
        <v>0</v>
      </c>
      <c r="B1" t="s">
        <v>1</v>
      </c>
      <c r="F1" s="6"/>
      <c r="G1" s="6" t="s">
        <v>2</v>
      </c>
    </row>
    <row r="2" spans="1:8" x14ac:dyDescent="0.25">
      <c r="A2">
        <v>-19.304942154325545</v>
      </c>
      <c r="B2">
        <v>-5.7021180661395192</v>
      </c>
      <c r="F2" s="6" t="s">
        <v>0</v>
      </c>
      <c r="G2" s="6">
        <f>_xlfn.VAR.S(A2:A21)</f>
        <v>62.733457698858587</v>
      </c>
    </row>
    <row r="3" spans="1:8" x14ac:dyDescent="0.25">
      <c r="A3">
        <v>1.5566914751398144</v>
      </c>
      <c r="B3">
        <v>3.2385820607742062</v>
      </c>
      <c r="F3" s="6" t="s">
        <v>1</v>
      </c>
      <c r="G3" s="6">
        <f>_xlfn.VAR.S(B2:B21)</f>
        <v>11.52247182223933</v>
      </c>
    </row>
    <row r="4" spans="1:8" x14ac:dyDescent="0.25">
      <c r="A4">
        <v>0.37344455247512087</v>
      </c>
      <c r="B4">
        <v>2.7314762367750518</v>
      </c>
      <c r="F4" s="6"/>
      <c r="G4" s="6"/>
    </row>
    <row r="5" spans="1:8" x14ac:dyDescent="0.25">
      <c r="A5">
        <v>-4.52792016605963</v>
      </c>
      <c r="B5">
        <v>0.63089135740301572</v>
      </c>
      <c r="F5" s="6"/>
      <c r="G5" s="6" t="s">
        <v>3</v>
      </c>
    </row>
    <row r="6" spans="1:8" x14ac:dyDescent="0.25">
      <c r="A6">
        <v>0.5378107087162789</v>
      </c>
      <c r="B6">
        <v>2.8019188751641195</v>
      </c>
      <c r="F6" s="6" t="s">
        <v>0</v>
      </c>
      <c r="G6" s="7">
        <f>AVERAGE(A2:A21)</f>
        <v>-0.72388934061018517</v>
      </c>
    </row>
    <row r="7" spans="1:8" x14ac:dyDescent="0.25">
      <c r="A7">
        <v>-4.9199351198913064</v>
      </c>
      <c r="B7">
        <v>0.46288494861801155</v>
      </c>
      <c r="F7" s="6" t="s">
        <v>1</v>
      </c>
      <c r="G7" s="7">
        <f>AVERAGE(B2:B21)</f>
        <v>2.2611902825956349</v>
      </c>
    </row>
    <row r="8" spans="1:8" x14ac:dyDescent="0.25">
      <c r="A8">
        <v>10.844652595347725</v>
      </c>
      <c r="B8">
        <v>7.2191368265775964</v>
      </c>
    </row>
    <row r="9" spans="1:8" x14ac:dyDescent="0.25">
      <c r="A9">
        <v>-1.5104236556217074</v>
      </c>
      <c r="B9">
        <v>1.9241041475906968</v>
      </c>
    </row>
    <row r="10" spans="1:8" x14ac:dyDescent="0.25">
      <c r="A10">
        <v>8.1415001912100706</v>
      </c>
      <c r="B10">
        <v>6.0606429390900303</v>
      </c>
      <c r="F10" t="s">
        <v>5</v>
      </c>
    </row>
    <row r="11" spans="1:8" ht="15.75" thickBot="1" x14ac:dyDescent="0.3">
      <c r="A11">
        <v>3.1543394268519478</v>
      </c>
      <c r="B11">
        <v>3.9232883257936919</v>
      </c>
    </row>
    <row r="12" spans="1:8" x14ac:dyDescent="0.25">
      <c r="A12">
        <v>-6.3445426096441224</v>
      </c>
      <c r="B12">
        <v>-0.14766111841890961</v>
      </c>
      <c r="F12" s="3"/>
      <c r="G12" s="3" t="s">
        <v>6</v>
      </c>
      <c r="H12" s="3" t="s">
        <v>7</v>
      </c>
    </row>
    <row r="13" spans="1:8" x14ac:dyDescent="0.25">
      <c r="A13">
        <v>8.7862637226644438</v>
      </c>
      <c r="B13">
        <v>6.3369701668561902</v>
      </c>
      <c r="F13" s="1" t="s">
        <v>4</v>
      </c>
      <c r="G13" s="1">
        <v>-0.72388934061018517</v>
      </c>
      <c r="H13" s="1">
        <v>2.2611902825956349</v>
      </c>
    </row>
    <row r="14" spans="1:8" x14ac:dyDescent="0.25">
      <c r="A14">
        <v>6.0401536100252997</v>
      </c>
      <c r="B14">
        <v>5.1600658328679856</v>
      </c>
      <c r="F14" s="1" t="s">
        <v>8</v>
      </c>
      <c r="G14" s="1">
        <v>63</v>
      </c>
      <c r="H14" s="1">
        <v>12</v>
      </c>
    </row>
    <row r="15" spans="1:8" x14ac:dyDescent="0.25">
      <c r="A15">
        <v>1.7605535756738391</v>
      </c>
      <c r="B15">
        <v>3.3259515324316453</v>
      </c>
      <c r="F15" s="1" t="s">
        <v>9</v>
      </c>
      <c r="G15" s="1">
        <v>20</v>
      </c>
      <c r="H15" s="1">
        <v>20</v>
      </c>
    </row>
    <row r="16" spans="1:8" x14ac:dyDescent="0.25">
      <c r="A16">
        <v>-1.3693030470894882</v>
      </c>
      <c r="B16">
        <v>1.9845844083902193</v>
      </c>
      <c r="F16" s="1" t="s">
        <v>10</v>
      </c>
      <c r="G16" s="1">
        <v>45778</v>
      </c>
      <c r="H16" s="1"/>
    </row>
    <row r="17" spans="1:8" x14ac:dyDescent="0.25">
      <c r="A17">
        <v>-5.1537275541923009</v>
      </c>
      <c r="B17">
        <v>0.36268819106044248</v>
      </c>
      <c r="F17" s="1" t="s">
        <v>11</v>
      </c>
      <c r="G17" s="1">
        <v>-23641.199038180119</v>
      </c>
      <c r="H17" s="1"/>
    </row>
    <row r="18" spans="1:8" x14ac:dyDescent="0.25">
      <c r="A18">
        <v>-19.23414708673954</v>
      </c>
      <c r="B18">
        <v>-5.6717773228883743</v>
      </c>
      <c r="F18" s="1" t="s">
        <v>12</v>
      </c>
      <c r="G18" s="1">
        <v>0</v>
      </c>
      <c r="H18" s="1"/>
    </row>
    <row r="19" spans="1:8" x14ac:dyDescent="0.25">
      <c r="A19">
        <v>5.4649038954958087</v>
      </c>
      <c r="B19">
        <v>4.9135302409267752</v>
      </c>
      <c r="F19" s="1" t="s">
        <v>13</v>
      </c>
      <c r="G19" s="1">
        <v>1.6448536269514715</v>
      </c>
      <c r="H19" s="1"/>
    </row>
    <row r="20" spans="1:8" x14ac:dyDescent="0.25">
      <c r="A20">
        <v>0.69386863085674122</v>
      </c>
      <c r="B20">
        <v>2.8688008417957462</v>
      </c>
      <c r="F20" s="1" t="s">
        <v>14</v>
      </c>
      <c r="G20" s="1">
        <v>0</v>
      </c>
      <c r="H20" s="1"/>
    </row>
    <row r="21" spans="1:8" ht="15.75" thickBot="1" x14ac:dyDescent="0.3">
      <c r="A21">
        <v>0.53297219690284692</v>
      </c>
      <c r="B21">
        <v>2.7998452272440773</v>
      </c>
      <c r="F21" s="2" t="s">
        <v>15</v>
      </c>
      <c r="G21" s="2">
        <v>1.9599639845400536</v>
      </c>
      <c r="H2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4BF-74A2-473B-807F-D56C1D94F996}">
  <dimension ref="A1:H36"/>
  <sheetViews>
    <sheetView tabSelected="1" workbookViewId="0">
      <selection activeCell="I10" sqref="I10"/>
    </sheetView>
  </sheetViews>
  <sheetFormatPr defaultRowHeight="15" x14ac:dyDescent="0.25"/>
  <cols>
    <col min="1" max="1" width="18.140625" customWidth="1"/>
    <col min="2" max="2" width="18.42578125" customWidth="1"/>
    <col min="6" max="6" width="12.140625" customWidth="1"/>
    <col min="7" max="7" width="27.140625" customWidth="1"/>
    <col min="8" max="8" width="13.42578125" customWidth="1"/>
  </cols>
  <sheetData>
    <row r="1" spans="1:8" x14ac:dyDescent="0.25">
      <c r="A1" t="s">
        <v>0</v>
      </c>
      <c r="B1" t="s">
        <v>1</v>
      </c>
      <c r="F1" s="6"/>
      <c r="G1" s="6" t="s">
        <v>2</v>
      </c>
    </row>
    <row r="2" spans="1:8" x14ac:dyDescent="0.25">
      <c r="A2">
        <v>-1.9843524619936943</v>
      </c>
      <c r="B2">
        <v>-12.503530110232532</v>
      </c>
      <c r="F2" s="6" t="s">
        <v>0</v>
      </c>
      <c r="G2" s="6">
        <f>_xlfn.VAR.S(A2:A21)</f>
        <v>14.054031151750547</v>
      </c>
    </row>
    <row r="3" spans="1:8" x14ac:dyDescent="0.25">
      <c r="A3">
        <v>10.705711151269497</v>
      </c>
      <c r="B3">
        <v>2.3976367679570103</v>
      </c>
      <c r="F3" s="6" t="s">
        <v>1</v>
      </c>
      <c r="G3" s="6">
        <f>_xlfn.VAR.S(B2:B36)</f>
        <v>28.056014363988147</v>
      </c>
    </row>
    <row r="4" spans="1:8" x14ac:dyDescent="0.25">
      <c r="A4">
        <v>8.91606432053959</v>
      </c>
      <c r="B4">
        <v>1.5524603946250863</v>
      </c>
      <c r="F4" s="6"/>
      <c r="G4" s="6"/>
    </row>
    <row r="5" spans="1:8" x14ac:dyDescent="0.25">
      <c r="A5">
        <v>7.324566826748196</v>
      </c>
      <c r="B5">
        <v>-1.9485144043283071</v>
      </c>
      <c r="F5" s="6"/>
      <c r="G5" s="6" t="s">
        <v>3</v>
      </c>
    </row>
    <row r="6" spans="1:8" x14ac:dyDescent="0.25">
      <c r="A6">
        <v>10.841371380985947</v>
      </c>
      <c r="B6">
        <v>1.6698647919401992</v>
      </c>
      <c r="F6" s="6" t="s">
        <v>0</v>
      </c>
      <c r="G6" s="7">
        <f>AVERAGE(A2:A21)</f>
        <v>7.6068174229767465</v>
      </c>
    </row>
    <row r="7" spans="1:8" x14ac:dyDescent="0.25">
      <c r="A7">
        <v>7.7576250027341302</v>
      </c>
      <c r="B7">
        <v>-2.2285250856366474</v>
      </c>
      <c r="F7" s="6" t="s">
        <v>1</v>
      </c>
      <c r="G7" s="7">
        <f>AVERAGE(B2:B36)</f>
        <v>0.42831617310626563</v>
      </c>
    </row>
    <row r="8" spans="1:8" x14ac:dyDescent="0.25">
      <c r="A8">
        <v>6.5870985003421083</v>
      </c>
      <c r="B8">
        <v>9.0318947109626606</v>
      </c>
    </row>
    <row r="9" spans="1:8" x14ac:dyDescent="0.25">
      <c r="A9">
        <v>9.5966846806113608</v>
      </c>
      <c r="B9">
        <v>0.20684024598449469</v>
      </c>
    </row>
    <row r="10" spans="1:8" x14ac:dyDescent="0.25">
      <c r="A10">
        <v>5.6528723638912197</v>
      </c>
      <c r="B10">
        <v>7.1010715651500504</v>
      </c>
      <c r="F10" t="s">
        <v>5</v>
      </c>
    </row>
    <row r="11" spans="1:8" ht="15.75" thickBot="1" x14ac:dyDescent="0.3">
      <c r="A11">
        <v>7.4451283075468382</v>
      </c>
      <c r="B11">
        <v>3.5388138763228199</v>
      </c>
    </row>
    <row r="12" spans="1:8" x14ac:dyDescent="0.25">
      <c r="A12">
        <v>4.132656517351279</v>
      </c>
      <c r="B12">
        <v>-3.246101864031516</v>
      </c>
      <c r="F12" s="3"/>
      <c r="G12" s="3" t="s">
        <v>6</v>
      </c>
      <c r="H12" s="3" t="s">
        <v>7</v>
      </c>
    </row>
    <row r="13" spans="1:8" x14ac:dyDescent="0.25">
      <c r="A13">
        <v>10.244822437409312</v>
      </c>
      <c r="B13">
        <v>7.561616944760317</v>
      </c>
      <c r="F13" s="1" t="s">
        <v>4</v>
      </c>
      <c r="G13" s="1">
        <v>7.6068174229767465</v>
      </c>
      <c r="H13" s="1">
        <v>0.42831617310626563</v>
      </c>
    </row>
    <row r="14" spans="1:8" x14ac:dyDescent="0.25">
      <c r="A14">
        <v>6.1316633440874284</v>
      </c>
      <c r="B14">
        <v>5.6001097214466427</v>
      </c>
      <c r="F14" s="1" t="s">
        <v>8</v>
      </c>
      <c r="G14" s="1">
        <v>14</v>
      </c>
      <c r="H14" s="1">
        <v>28</v>
      </c>
    </row>
    <row r="15" spans="1:8" x14ac:dyDescent="0.25">
      <c r="A15">
        <v>0.74233084381558001</v>
      </c>
      <c r="B15">
        <v>2.5432525540527422</v>
      </c>
      <c r="F15" s="1" t="s">
        <v>9</v>
      </c>
      <c r="G15" s="1">
        <v>20</v>
      </c>
      <c r="H15" s="1">
        <v>35</v>
      </c>
    </row>
    <row r="16" spans="1:8" x14ac:dyDescent="0.25">
      <c r="A16">
        <v>13.241598384804092</v>
      </c>
      <c r="B16">
        <v>0.30764068065036554</v>
      </c>
      <c r="F16" s="1" t="s">
        <v>10</v>
      </c>
      <c r="G16" s="1">
        <v>45778</v>
      </c>
      <c r="H16" s="1"/>
    </row>
    <row r="17" spans="1:8" x14ac:dyDescent="0.25">
      <c r="A17">
        <v>7.3324146291561192</v>
      </c>
      <c r="B17">
        <v>-2.3955196815659292</v>
      </c>
      <c r="F17" s="1" t="s">
        <v>11</v>
      </c>
      <c r="G17" s="1">
        <v>-37371.719259982739</v>
      </c>
      <c r="H17" s="1"/>
    </row>
    <row r="18" spans="1:8" x14ac:dyDescent="0.25">
      <c r="A18">
        <v>11.019466359750368</v>
      </c>
      <c r="B18">
        <v>-12.452962204813957</v>
      </c>
      <c r="F18" s="1" t="s">
        <v>12</v>
      </c>
      <c r="G18" s="1">
        <v>0</v>
      </c>
      <c r="H18" s="1"/>
    </row>
    <row r="19" spans="1:8" x14ac:dyDescent="0.25">
      <c r="A19">
        <v>11.356134013505653</v>
      </c>
      <c r="B19">
        <v>5.1892170682112919</v>
      </c>
      <c r="F19" s="1" t="s">
        <v>13</v>
      </c>
      <c r="G19" s="1">
        <v>1.6448536269514715</v>
      </c>
      <c r="H19" s="1"/>
    </row>
    <row r="20" spans="1:8" x14ac:dyDescent="0.25">
      <c r="A20">
        <v>4.509180502675008</v>
      </c>
      <c r="B20">
        <v>1.7813347363262437</v>
      </c>
      <c r="F20" s="1" t="s">
        <v>14</v>
      </c>
      <c r="G20" s="1">
        <v>0</v>
      </c>
      <c r="H20" s="1"/>
    </row>
    <row r="21" spans="1:8" ht="15.75" thickBot="1" x14ac:dyDescent="0.3">
      <c r="A21">
        <v>10.583311354304897</v>
      </c>
      <c r="B21">
        <v>1.6664087120734621</v>
      </c>
      <c r="F21" s="2" t="s">
        <v>15</v>
      </c>
      <c r="G21" s="2">
        <v>1.9599639845400536</v>
      </c>
      <c r="H21" s="2"/>
    </row>
    <row r="22" spans="1:8" x14ac:dyDescent="0.25">
      <c r="B22">
        <v>-5.0680698627256788</v>
      </c>
    </row>
    <row r="23" spans="1:8" x14ac:dyDescent="0.25">
      <c r="B23">
        <v>-0.90956450044177473</v>
      </c>
    </row>
    <row r="24" spans="1:8" x14ac:dyDescent="0.25">
      <c r="B24">
        <v>7.5943928600754589</v>
      </c>
    </row>
    <row r="25" spans="1:8" x14ac:dyDescent="0.25">
      <c r="B25">
        <v>-0.78049583357642405</v>
      </c>
    </row>
    <row r="26" spans="1:8" x14ac:dyDescent="0.25">
      <c r="B26">
        <v>4.3780103219905868</v>
      </c>
    </row>
    <row r="27" spans="1:8" x14ac:dyDescent="0.25">
      <c r="B27">
        <v>0.76924903219332919</v>
      </c>
    </row>
    <row r="28" spans="1:8" x14ac:dyDescent="0.25">
      <c r="B28">
        <v>1.161292407734436</v>
      </c>
    </row>
    <row r="29" spans="1:8" x14ac:dyDescent="0.25">
      <c r="B29">
        <v>3.1116298992419615</v>
      </c>
    </row>
    <row r="30" spans="1:8" x14ac:dyDescent="0.25">
      <c r="B30">
        <v>1.1376171237789094</v>
      </c>
    </row>
    <row r="31" spans="1:8" x14ac:dyDescent="0.25">
      <c r="B31">
        <v>-6.5553417196497321E-2</v>
      </c>
    </row>
    <row r="32" spans="1:8" x14ac:dyDescent="0.25">
      <c r="B32">
        <v>4.8513227334769908</v>
      </c>
    </row>
    <row r="33" spans="2:2" x14ac:dyDescent="0.25">
      <c r="B33">
        <v>2.4179753432254074</v>
      </c>
    </row>
    <row r="34" spans="2:2" x14ac:dyDescent="0.25">
      <c r="B34">
        <v>-12.693796401843429</v>
      </c>
    </row>
    <row r="35" spans="2:2" x14ac:dyDescent="0.25">
      <c r="B35">
        <v>-5.7142431109678</v>
      </c>
    </row>
    <row r="36" spans="2:2" x14ac:dyDescent="0.25">
      <c r="B36">
        <v>-0.57170995610067621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3.1</vt:lpstr>
      <vt:lpstr>3.2</vt:lpstr>
      <vt:lpstr>3.3</vt:lpstr>
      <vt:lpstr>3.4</vt:lpstr>
      <vt:lpstr>3.5</vt:lpstr>
      <vt:lpstr>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Возисов</dc:creator>
  <cp:lastModifiedBy>Иван Возисов</cp:lastModifiedBy>
  <dcterms:created xsi:type="dcterms:W3CDTF">2015-06-05T18:17:20Z</dcterms:created>
  <dcterms:modified xsi:type="dcterms:W3CDTF">2025-02-24T19:06:47Z</dcterms:modified>
</cp:coreProperties>
</file>