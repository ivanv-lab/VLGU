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ivanv\Desktop\VLGU (1)\VLGU\2 семестр\Методы анализа данных\Лаб 5\"/>
    </mc:Choice>
  </mc:AlternateContent>
  <xr:revisionPtr revIDLastSave="0" documentId="13_ncr:1_{0C12D6FC-8DF8-4E63-BD74-2CCF7140B409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8" i="1" l="1"/>
  <c r="F75" i="1"/>
  <c r="G75" i="1"/>
  <c r="E75" i="1"/>
  <c r="F74" i="1"/>
  <c r="G74" i="1"/>
  <c r="E74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42" i="1"/>
  <c r="D40" i="1"/>
  <c r="C40" i="1"/>
</calcChain>
</file>

<file path=xl/sharedStrings.xml><?xml version="1.0" encoding="utf-8"?>
<sst xmlns="http://schemas.openxmlformats.org/spreadsheetml/2006/main" count="20" uniqueCount="17">
  <si>
    <t>№ предприятия</t>
  </si>
  <si>
    <t>Объем выполненных работ, млрд. руб.</t>
  </si>
  <si>
    <t>Численность персонала, чел.</t>
  </si>
  <si>
    <t>Фонд заработной платы, млрд. руб.</t>
  </si>
  <si>
    <t>1. Рассчитаем парный коэффициент корелляции</t>
  </si>
  <si>
    <t>X</t>
  </si>
  <si>
    <t>Y</t>
  </si>
  <si>
    <t>срзнач X</t>
  </si>
  <si>
    <t>(Xi-ср(X))</t>
  </si>
  <si>
    <t>срзнач Z</t>
  </si>
  <si>
    <t>(Zi-ср(Z))</t>
  </si>
  <si>
    <t>(Xi-ср(X))(Zi-ср(Z))</t>
  </si>
  <si>
    <t>(Xi-ср(X))^2</t>
  </si>
  <si>
    <t>(Zi-ср(Z))^2</t>
  </si>
  <si>
    <t>Суммы</t>
  </si>
  <si>
    <t>Корень</t>
  </si>
  <si>
    <t>Rxy=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</si>
</sst>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60" zoomScaleNormal="100" workbookViewId="0">
      <selection activeCell="B78" sqref="B78"/>
    </sheetView>
  </sheetViews>
  <sheetFormatPr defaultRowHeight="15" x14ac:dyDescent="0.25"/>
  <cols>
    <col min="1" max="1" width="18.140625" customWidth="1"/>
    <col min="2" max="2" width="18.5703125" customWidth="1"/>
    <col min="3" max="3" width="18.42578125" customWidth="1"/>
    <col min="4" max="4" width="18.140625" customWidth="1"/>
    <col min="5" max="5" width="18.42578125" customWidth="1"/>
    <col min="6" max="6" width="14" customWidth="1"/>
    <col min="7" max="7" width="14.140625" customWidth="1"/>
  </cols>
  <sheetData>
    <row r="1" spans="1:4" ht="43.5" customHeight="1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>
        <v>1</v>
      </c>
      <c r="B2">
        <v>8.3513590602087788</v>
      </c>
      <c r="C2" s="1">
        <v>59.736888892366551</v>
      </c>
      <c r="D2">
        <v>13.247063538467046</v>
      </c>
    </row>
    <row r="3" spans="1:4" x14ac:dyDescent="0.25">
      <c r="A3">
        <v>2</v>
      </c>
      <c r="B3">
        <v>5.7862952366413083</v>
      </c>
      <c r="C3" s="1">
        <v>59.403386280173436</v>
      </c>
      <c r="D3">
        <v>7.3039937155335792</v>
      </c>
    </row>
    <row r="4" spans="1:4" x14ac:dyDescent="0.25">
      <c r="A4">
        <v>3</v>
      </c>
      <c r="B4">
        <v>6.3360620464954991</v>
      </c>
      <c r="C4" s="1">
        <v>66.337637639953755</v>
      </c>
      <c r="D4">
        <v>2.2534376461699139</v>
      </c>
    </row>
    <row r="5" spans="1:4" x14ac:dyDescent="0.25">
      <c r="A5">
        <v>4</v>
      </c>
      <c r="B5">
        <v>8.1167367119924165</v>
      </c>
      <c r="C5" s="1">
        <v>97.266942197456956</v>
      </c>
      <c r="D5">
        <v>6.340412159654079</v>
      </c>
    </row>
    <row r="6" spans="1:4" x14ac:dyDescent="0.25">
      <c r="A6">
        <v>5</v>
      </c>
      <c r="B6">
        <v>7.2818751454469748</v>
      </c>
      <c r="C6" s="1">
        <v>50.029569996986538</v>
      </c>
      <c r="D6">
        <v>15.035407518036664</v>
      </c>
    </row>
    <row r="7" spans="1:4" x14ac:dyDescent="0.25">
      <c r="A7">
        <v>6</v>
      </c>
      <c r="B7">
        <v>5.0492611939553171</v>
      </c>
      <c r="C7" s="1">
        <v>67.458035068120807</v>
      </c>
      <c r="D7">
        <v>6.8043656432855641</v>
      </c>
    </row>
    <row r="8" spans="1:4" x14ac:dyDescent="0.25">
      <c r="A8">
        <v>7</v>
      </c>
      <c r="B8">
        <v>5.9167440617165994</v>
      </c>
      <c r="C8" s="1">
        <v>72.093947841785848</v>
      </c>
      <c r="D8">
        <v>10.463305120021687</v>
      </c>
    </row>
    <row r="9" spans="1:4" x14ac:dyDescent="0.25">
      <c r="A9">
        <v>8</v>
      </c>
      <c r="B9">
        <v>6.640879195794696</v>
      </c>
      <c r="C9" s="1">
        <v>57.24902980029583</v>
      </c>
      <c r="D9">
        <v>6.6922020955025801</v>
      </c>
    </row>
    <row r="10" spans="1:4" x14ac:dyDescent="0.25">
      <c r="A10">
        <v>9</v>
      </c>
      <c r="B10">
        <v>7.2802835297188722</v>
      </c>
      <c r="C10" s="1">
        <v>66.923988874186762</v>
      </c>
      <c r="D10">
        <v>4.6856724970275536</v>
      </c>
    </row>
    <row r="11" spans="1:4" x14ac:dyDescent="0.25">
      <c r="A11">
        <v>10</v>
      </c>
      <c r="B11">
        <v>7.9600171324564144</v>
      </c>
      <c r="C11" s="1">
        <v>90.047809812240303</v>
      </c>
      <c r="D11">
        <v>2.7288187033555005</v>
      </c>
    </row>
    <row r="12" spans="1:4" x14ac:dyDescent="0.25">
      <c r="A12">
        <v>11</v>
      </c>
      <c r="B12">
        <v>7.3152308636344969</v>
      </c>
      <c r="C12" s="1">
        <v>52.315875968197361</v>
      </c>
      <c r="D12">
        <v>6.1702591159992153</v>
      </c>
    </row>
    <row r="13" spans="1:4" x14ac:dyDescent="0.25">
      <c r="A13">
        <v>12</v>
      </c>
      <c r="B13">
        <v>6.3470828485442325</v>
      </c>
      <c r="C13" s="1">
        <v>75.569859240495134</v>
      </c>
      <c r="D13">
        <v>0.83145132014760748</v>
      </c>
    </row>
    <row r="14" spans="1:4" x14ac:dyDescent="0.25">
      <c r="A14">
        <v>13</v>
      </c>
      <c r="B14">
        <v>7.5189747298572911</v>
      </c>
      <c r="C14" s="1">
        <v>72.230153768323362</v>
      </c>
      <c r="D14">
        <v>7.5179924755793763</v>
      </c>
    </row>
    <row r="15" spans="1:4" x14ac:dyDescent="0.25">
      <c r="A15">
        <v>14</v>
      </c>
      <c r="B15">
        <v>7.6439495336962864</v>
      </c>
      <c r="C15" s="1">
        <v>67.36125573690515</v>
      </c>
      <c r="D15">
        <v>2.5094888264284236</v>
      </c>
    </row>
    <row r="16" spans="1:4" x14ac:dyDescent="0.25">
      <c r="A16">
        <v>15</v>
      </c>
      <c r="B16">
        <v>8.0468374966876581</v>
      </c>
      <c r="C16" s="1">
        <v>78.760862328927033</v>
      </c>
      <c r="D16">
        <v>7.0268844360107323</v>
      </c>
    </row>
    <row r="17" spans="1:4" x14ac:dyDescent="0.25">
      <c r="A17">
        <v>16</v>
      </c>
      <c r="B17">
        <v>6.4583072293607984</v>
      </c>
      <c r="C17" s="1">
        <v>62.030452631297521</v>
      </c>
      <c r="D17">
        <v>9.1561872927122749</v>
      </c>
    </row>
    <row r="18" spans="1:4" x14ac:dyDescent="0.25">
      <c r="A18">
        <v>17</v>
      </c>
      <c r="B18">
        <v>7.3947684490412939</v>
      </c>
      <c r="C18" s="1">
        <v>57.653472999227233</v>
      </c>
      <c r="D18">
        <v>8.5409966636070749</v>
      </c>
    </row>
    <row r="19" spans="1:4" x14ac:dyDescent="0.25">
      <c r="A19">
        <v>18</v>
      </c>
      <c r="B19">
        <v>8.8130322132492438</v>
      </c>
      <c r="C19" s="1">
        <v>83.913058865000494</v>
      </c>
      <c r="D19">
        <v>0.66118572652339935</v>
      </c>
    </row>
    <row r="20" spans="1:4" x14ac:dyDescent="0.25">
      <c r="A20">
        <v>19</v>
      </c>
      <c r="B20">
        <v>5.1424571160459891</v>
      </c>
      <c r="C20" s="1">
        <v>69.131291588128079</v>
      </c>
      <c r="D20">
        <v>8.126317556554568</v>
      </c>
    </row>
    <row r="21" spans="1:4" x14ac:dyDescent="0.25">
      <c r="A21">
        <v>20</v>
      </c>
      <c r="B21">
        <v>7.8925803740567062</v>
      </c>
      <c r="C21" s="1">
        <v>79.570785550749861</v>
      </c>
      <c r="D21">
        <v>-1.354389137821272</v>
      </c>
    </row>
    <row r="22" spans="1:4" x14ac:dyDescent="0.25">
      <c r="A22">
        <v>21</v>
      </c>
      <c r="B22">
        <v>5.4732949087629095</v>
      </c>
      <c r="C22" s="1">
        <v>80.887115422519855</v>
      </c>
      <c r="D22">
        <v>6.1884847077017184</v>
      </c>
    </row>
    <row r="23" spans="1:4" x14ac:dyDescent="0.25">
      <c r="A23">
        <v>22</v>
      </c>
      <c r="B23">
        <v>6.7420059116848279</v>
      </c>
      <c r="C23" s="1">
        <v>68.738676367793232</v>
      </c>
      <c r="D23">
        <v>11.51034247817006</v>
      </c>
    </row>
    <row r="24" spans="1:4" x14ac:dyDescent="0.25">
      <c r="A24">
        <v>23</v>
      </c>
      <c r="B24">
        <v>5.064922692719847</v>
      </c>
      <c r="C24" s="1">
        <v>81.659249139484018</v>
      </c>
      <c r="D24">
        <v>1.2589911370305344</v>
      </c>
    </row>
    <row r="25" spans="1:4" x14ac:dyDescent="0.25">
      <c r="A25">
        <v>24</v>
      </c>
      <c r="B25">
        <v>5.7000228429678828</v>
      </c>
      <c r="C25" s="1">
        <v>81.900010576937348</v>
      </c>
      <c r="D25">
        <v>10.742774197235121</v>
      </c>
    </row>
    <row r="26" spans="1:4" x14ac:dyDescent="0.25">
      <c r="A26">
        <v>25</v>
      </c>
      <c r="B26">
        <v>8.7652746464591473</v>
      </c>
      <c r="C26" s="1">
        <v>82.38087861565873</v>
      </c>
      <c r="D26">
        <v>8.4314705367723946</v>
      </c>
    </row>
    <row r="27" spans="1:4" x14ac:dyDescent="0.25">
      <c r="A27">
        <v>26</v>
      </c>
      <c r="B27">
        <v>7.9122368282987736</v>
      </c>
      <c r="C27" s="1">
        <v>92.755230020266026</v>
      </c>
      <c r="D27">
        <v>3.5905312819813844</v>
      </c>
    </row>
    <row r="28" spans="1:4" x14ac:dyDescent="0.25">
      <c r="A28">
        <v>27</v>
      </c>
      <c r="B28">
        <v>6.6422650383465225</v>
      </c>
      <c r="C28" s="1">
        <v>94.535183911211789</v>
      </c>
      <c r="D28">
        <v>5.9915260130146635</v>
      </c>
    </row>
    <row r="29" spans="1:4" x14ac:dyDescent="0.25">
      <c r="A29">
        <v>28</v>
      </c>
      <c r="B29">
        <v>6.9684393969801022</v>
      </c>
      <c r="C29" s="1">
        <v>82.261125448276289</v>
      </c>
      <c r="D29">
        <v>5.0787870299536735</v>
      </c>
    </row>
    <row r="30" spans="1:4" x14ac:dyDescent="0.25">
      <c r="A30">
        <v>29</v>
      </c>
      <c r="B30">
        <v>5.5153590387199074</v>
      </c>
      <c r="C30" s="1">
        <v>44.40922015812248</v>
      </c>
      <c r="D30">
        <v>6.5697514805215178</v>
      </c>
    </row>
    <row r="31" spans="1:4" x14ac:dyDescent="0.25">
      <c r="A31">
        <v>30</v>
      </c>
      <c r="B31">
        <v>6.4550273640925298</v>
      </c>
      <c r="C31" s="1">
        <v>65.290554579696618</v>
      </c>
      <c r="D31">
        <v>12.170875738258474</v>
      </c>
    </row>
    <row r="32" spans="1:4" x14ac:dyDescent="0.25">
      <c r="A32">
        <v>31</v>
      </c>
      <c r="B32">
        <v>7.3721254415722797</v>
      </c>
      <c r="C32" s="1">
        <v>83.585668057203293</v>
      </c>
      <c r="D32">
        <v>3.7406804444181034</v>
      </c>
    </row>
    <row r="36" spans="1:7" x14ac:dyDescent="0.25">
      <c r="A36" t="s">
        <v>4</v>
      </c>
    </row>
    <row r="39" spans="1:7" x14ac:dyDescent="0.25">
      <c r="C39" t="s">
        <v>7</v>
      </c>
      <c r="D39" t="s">
        <v>9</v>
      </c>
    </row>
    <row r="40" spans="1:7" x14ac:dyDescent="0.25">
      <c r="C40">
        <f>AVERAGE(A42:A72)</f>
        <v>6.9001196219098579</v>
      </c>
      <c r="D40" s="1">
        <f>AVERAGE(B42:B72)</f>
        <v>72.370555399289927</v>
      </c>
    </row>
    <row r="41" spans="1:7" x14ac:dyDescent="0.25">
      <c r="A41" s="2" t="s">
        <v>5</v>
      </c>
      <c r="B41" s="2" t="s">
        <v>6</v>
      </c>
      <c r="C41" s="2" t="s">
        <v>8</v>
      </c>
      <c r="D41" s="2" t="s">
        <v>10</v>
      </c>
      <c r="E41" s="2" t="s">
        <v>11</v>
      </c>
      <c r="F41" s="2" t="s">
        <v>12</v>
      </c>
      <c r="G41" s="2" t="s">
        <v>13</v>
      </c>
    </row>
    <row r="42" spans="1:7" x14ac:dyDescent="0.25">
      <c r="A42">
        <v>8.3513590602087788</v>
      </c>
      <c r="B42" s="1">
        <v>59.736888892366551</v>
      </c>
      <c r="C42">
        <f>A42-$C$40</f>
        <v>1.4512394382989209</v>
      </c>
      <c r="D42" s="1">
        <f>B42-$D$40</f>
        <v>-12.633666506923376</v>
      </c>
      <c r="E42">
        <f>C42*D42</f>
        <v>-18.334475085163369</v>
      </c>
      <c r="F42">
        <f>C42^2</f>
        <v>2.1060959072741672</v>
      </c>
      <c r="G42" s="1">
        <f>D42^2</f>
        <v>159.6095294081575</v>
      </c>
    </row>
    <row r="43" spans="1:7" x14ac:dyDescent="0.25">
      <c r="A43">
        <v>5.7862952366413083</v>
      </c>
      <c r="B43" s="1">
        <v>59.403386280173436</v>
      </c>
      <c r="C43">
        <f t="shared" ref="C43:C72" si="0">A43-$C$40</f>
        <v>-1.1138243852685497</v>
      </c>
      <c r="D43" s="1">
        <f t="shared" ref="D43:D72" si="1">B43-$D$40</f>
        <v>-12.967169119116491</v>
      </c>
      <c r="E43">
        <f t="shared" ref="E43:E72" si="2">C43*D43</f>
        <v>14.443149172773246</v>
      </c>
      <c r="F43">
        <f t="shared" ref="F43:F72" si="3">C43^2</f>
        <v>1.2406047612188624</v>
      </c>
      <c r="G43" s="1">
        <f t="shared" ref="G43:G72" si="4">D43^2</f>
        <v>168.14747496376836</v>
      </c>
    </row>
    <row r="44" spans="1:7" x14ac:dyDescent="0.25">
      <c r="A44">
        <v>6.3360620464954991</v>
      </c>
      <c r="B44" s="1">
        <v>66.337637639953755</v>
      </c>
      <c r="C44">
        <f t="shared" si="0"/>
        <v>-0.56405757541435886</v>
      </c>
      <c r="D44" s="1">
        <f t="shared" si="1"/>
        <v>-6.032917759336172</v>
      </c>
      <c r="E44">
        <f t="shared" si="2"/>
        <v>3.4029129640053877</v>
      </c>
      <c r="F44">
        <f t="shared" si="3"/>
        <v>0.31816094838232511</v>
      </c>
      <c r="G44" s="1">
        <f t="shared" si="4"/>
        <v>36.39609669091378</v>
      </c>
    </row>
    <row r="45" spans="1:7" x14ac:dyDescent="0.25">
      <c r="A45">
        <v>8.1167367119924165</v>
      </c>
      <c r="B45" s="1">
        <v>97.266942197456956</v>
      </c>
      <c r="C45">
        <f t="shared" si="0"/>
        <v>1.2166170900825586</v>
      </c>
      <c r="D45" s="1">
        <f t="shared" si="1"/>
        <v>24.896386798167029</v>
      </c>
      <c r="E45">
        <f t="shared" si="2"/>
        <v>30.289369659955799</v>
      </c>
      <c r="F45">
        <f t="shared" si="3"/>
        <v>1.4801571438809524</v>
      </c>
      <c r="G45" s="1">
        <f t="shared" si="4"/>
        <v>619.83007560394549</v>
      </c>
    </row>
    <row r="46" spans="1:7" x14ac:dyDescent="0.25">
      <c r="A46">
        <v>7.2818751454469748</v>
      </c>
      <c r="B46" s="1">
        <v>50.029569996986538</v>
      </c>
      <c r="C46">
        <f t="shared" si="0"/>
        <v>0.38175552353711684</v>
      </c>
      <c r="D46" s="1">
        <f t="shared" si="1"/>
        <v>-22.340985402303389</v>
      </c>
      <c r="E46">
        <f t="shared" si="2"/>
        <v>-8.5287945785914143</v>
      </c>
      <c r="F46">
        <f t="shared" si="3"/>
        <v>0.14573727975109815</v>
      </c>
      <c r="G46" s="1">
        <f t="shared" si="4"/>
        <v>499.11962874593308</v>
      </c>
    </row>
    <row r="47" spans="1:7" x14ac:dyDescent="0.25">
      <c r="A47">
        <v>5.0492611939553171</v>
      </c>
      <c r="B47" s="1">
        <v>67.458035068120807</v>
      </c>
      <c r="C47">
        <f t="shared" si="0"/>
        <v>-1.8508584279545408</v>
      </c>
      <c r="D47" s="1">
        <f t="shared" si="1"/>
        <v>-4.9125203311691195</v>
      </c>
      <c r="E47">
        <f t="shared" si="2"/>
        <v>9.0923796574423967</v>
      </c>
      <c r="F47">
        <f t="shared" si="3"/>
        <v>3.4256769203303543</v>
      </c>
      <c r="G47" s="1">
        <f t="shared" si="4"/>
        <v>24.132856004149954</v>
      </c>
    </row>
    <row r="48" spans="1:7" x14ac:dyDescent="0.25">
      <c r="A48">
        <v>5.9167440617165994</v>
      </c>
      <c r="B48" s="1">
        <v>72.093947841785848</v>
      </c>
      <c r="C48">
        <f t="shared" si="0"/>
        <v>-0.98337556019325856</v>
      </c>
      <c r="D48" s="1">
        <f t="shared" si="1"/>
        <v>-0.27660755750407873</v>
      </c>
      <c r="E48">
        <f t="shared" si="2"/>
        <v>0.27200911181426241</v>
      </c>
      <c r="F48">
        <f t="shared" si="3"/>
        <v>0.96702749238540509</v>
      </c>
      <c r="G48" s="1">
        <f t="shared" si="4"/>
        <v>7.6511740868372216E-2</v>
      </c>
    </row>
    <row r="49" spans="1:7" x14ac:dyDescent="0.25">
      <c r="A49">
        <v>6.640879195794696</v>
      </c>
      <c r="B49" s="1">
        <v>57.24902980029583</v>
      </c>
      <c r="C49">
        <f t="shared" si="0"/>
        <v>-0.25924042611516196</v>
      </c>
      <c r="D49" s="1">
        <f t="shared" si="1"/>
        <v>-15.121525598994097</v>
      </c>
      <c r="E49">
        <f t="shared" si="2"/>
        <v>3.9201107397945596</v>
      </c>
      <c r="F49">
        <f t="shared" si="3"/>
        <v>6.720559853237075E-2</v>
      </c>
      <c r="G49" s="1">
        <f t="shared" si="4"/>
        <v>228.6605364410338</v>
      </c>
    </row>
    <row r="50" spans="1:7" x14ac:dyDescent="0.25">
      <c r="A50">
        <v>7.2802835297188722</v>
      </c>
      <c r="B50" s="1">
        <v>66.923988874186762</v>
      </c>
      <c r="C50">
        <f t="shared" si="0"/>
        <v>0.38016390780901421</v>
      </c>
      <c r="D50" s="1">
        <f t="shared" si="1"/>
        <v>-5.4465665251031652</v>
      </c>
      <c r="E50">
        <f t="shared" si="2"/>
        <v>-2.0705880143249824</v>
      </c>
      <c r="F50">
        <f t="shared" si="3"/>
        <v>0.14452459680062066</v>
      </c>
      <c r="G50" s="1">
        <f t="shared" si="4"/>
        <v>29.665086912374367</v>
      </c>
    </row>
    <row r="51" spans="1:7" x14ac:dyDescent="0.25">
      <c r="A51">
        <v>7.9600171324564144</v>
      </c>
      <c r="B51" s="1">
        <v>90.047809812240303</v>
      </c>
      <c r="C51">
        <f t="shared" si="0"/>
        <v>1.0598975105465565</v>
      </c>
      <c r="D51" s="1">
        <f t="shared" si="1"/>
        <v>17.677254412950376</v>
      </c>
      <c r="E51">
        <f t="shared" si="2"/>
        <v>18.736077945584231</v>
      </c>
      <c r="F51">
        <f t="shared" si="3"/>
        <v>1.1233827328627877</v>
      </c>
      <c r="G51" s="1">
        <f t="shared" si="4"/>
        <v>312.48532358017354</v>
      </c>
    </row>
    <row r="52" spans="1:7" x14ac:dyDescent="0.25">
      <c r="A52">
        <v>7.3152308636344969</v>
      </c>
      <c r="B52" s="1">
        <v>52.315875968197361</v>
      </c>
      <c r="C52">
        <f t="shared" si="0"/>
        <v>0.41511124172463898</v>
      </c>
      <c r="D52" s="1">
        <f t="shared" si="1"/>
        <v>-20.054679431092566</v>
      </c>
      <c r="E52">
        <f t="shared" si="2"/>
        <v>-8.3249228810304121</v>
      </c>
      <c r="F52">
        <f t="shared" si="3"/>
        <v>0.17231734300617166</v>
      </c>
      <c r="G52" s="1">
        <f t="shared" si="4"/>
        <v>402.19016708388727</v>
      </c>
    </row>
    <row r="53" spans="1:7" x14ac:dyDescent="0.25">
      <c r="A53">
        <v>6.3470828485442325</v>
      </c>
      <c r="B53" s="1">
        <v>75.569859240495134</v>
      </c>
      <c r="C53">
        <f t="shared" si="0"/>
        <v>-0.5530367733656254</v>
      </c>
      <c r="D53" s="1">
        <f t="shared" si="1"/>
        <v>3.1993038412052073</v>
      </c>
      <c r="E53">
        <f t="shared" si="2"/>
        <v>-1.769332673356379</v>
      </c>
      <c r="F53">
        <f t="shared" si="3"/>
        <v>0.30584967269466212</v>
      </c>
      <c r="G53" s="1">
        <f t="shared" si="4"/>
        <v>10.235545068350394</v>
      </c>
    </row>
    <row r="54" spans="1:7" x14ac:dyDescent="0.25">
      <c r="A54">
        <v>7.5189747298572911</v>
      </c>
      <c r="B54" s="1">
        <v>72.230153768323362</v>
      </c>
      <c r="C54">
        <f t="shared" si="0"/>
        <v>0.61885510794743315</v>
      </c>
      <c r="D54" s="1">
        <f t="shared" si="1"/>
        <v>-0.14040163096656499</v>
      </c>
      <c r="E54">
        <f t="shared" si="2"/>
        <v>-8.6888266487809257E-2</v>
      </c>
      <c r="F54">
        <f t="shared" si="3"/>
        <v>0.38298164463262913</v>
      </c>
      <c r="G54" s="1">
        <f t="shared" si="4"/>
        <v>1.9712617978071504E-2</v>
      </c>
    </row>
    <row r="55" spans="1:7" x14ac:dyDescent="0.25">
      <c r="A55">
        <v>7.6439495336962864</v>
      </c>
      <c r="B55" s="1">
        <v>67.36125573690515</v>
      </c>
      <c r="C55">
        <f t="shared" si="0"/>
        <v>0.74382991178642843</v>
      </c>
      <c r="D55" s="1">
        <f t="shared" si="1"/>
        <v>-5.0092996623847768</v>
      </c>
      <c r="E55">
        <f t="shared" si="2"/>
        <v>-3.7260669259834542</v>
      </c>
      <c r="F55">
        <f t="shared" si="3"/>
        <v>0.55328293766820591</v>
      </c>
      <c r="G55" s="1">
        <f t="shared" si="4"/>
        <v>25.093083107568237</v>
      </c>
    </row>
    <row r="56" spans="1:7" x14ac:dyDescent="0.25">
      <c r="A56">
        <v>8.0468374966876581</v>
      </c>
      <c r="B56" s="1">
        <v>78.760862328927033</v>
      </c>
      <c r="C56">
        <f t="shared" si="0"/>
        <v>1.1467178747778002</v>
      </c>
      <c r="D56" s="1">
        <f t="shared" si="1"/>
        <v>6.3903069296371058</v>
      </c>
      <c r="E56">
        <f t="shared" si="2"/>
        <v>7.3278791815313111</v>
      </c>
      <c r="F56">
        <f t="shared" si="3"/>
        <v>1.3149618843349147</v>
      </c>
      <c r="G56" s="1">
        <f t="shared" si="4"/>
        <v>40.836022654968012</v>
      </c>
    </row>
    <row r="57" spans="1:7" x14ac:dyDescent="0.25">
      <c r="A57">
        <v>6.4583072293607984</v>
      </c>
      <c r="B57" s="1">
        <v>62.030452631297521</v>
      </c>
      <c r="C57">
        <f t="shared" si="0"/>
        <v>-0.44181239254905957</v>
      </c>
      <c r="D57" s="1">
        <f t="shared" si="1"/>
        <v>-10.340102767992406</v>
      </c>
      <c r="E57">
        <f t="shared" si="2"/>
        <v>4.5683855431298781</v>
      </c>
      <c r="F57">
        <f t="shared" si="3"/>
        <v>0.19519819020992432</v>
      </c>
      <c r="G57" s="1">
        <f t="shared" si="4"/>
        <v>106.9177252526442</v>
      </c>
    </row>
    <row r="58" spans="1:7" x14ac:dyDescent="0.25">
      <c r="A58">
        <v>7.3947684490412939</v>
      </c>
      <c r="B58" s="1">
        <v>57.653472999227233</v>
      </c>
      <c r="C58">
        <f t="shared" si="0"/>
        <v>0.49464882713143599</v>
      </c>
      <c r="D58" s="1">
        <f t="shared" si="1"/>
        <v>-14.717082400062694</v>
      </c>
      <c r="E58">
        <f t="shared" si="2"/>
        <v>-7.2797875479877101</v>
      </c>
      <c r="F58">
        <f t="shared" si="3"/>
        <v>0.24467746218250525</v>
      </c>
      <c r="G58" s="1">
        <f t="shared" si="4"/>
        <v>216.59251437023511</v>
      </c>
    </row>
    <row r="59" spans="1:7" x14ac:dyDescent="0.25">
      <c r="A59">
        <v>8.8130322132492438</v>
      </c>
      <c r="B59" s="1">
        <v>83.913058865000494</v>
      </c>
      <c r="C59">
        <f t="shared" si="0"/>
        <v>1.9129125913393858</v>
      </c>
      <c r="D59" s="1">
        <f t="shared" si="1"/>
        <v>11.542503465710567</v>
      </c>
      <c r="E59">
        <f t="shared" si="2"/>
        <v>22.079800215136242</v>
      </c>
      <c r="F59">
        <f t="shared" si="3"/>
        <v>3.659234582104764</v>
      </c>
      <c r="G59" s="1">
        <f t="shared" si="4"/>
        <v>133.22938625594045</v>
      </c>
    </row>
    <row r="60" spans="1:7" x14ac:dyDescent="0.25">
      <c r="A60">
        <v>5.1424571160459891</v>
      </c>
      <c r="B60" s="1">
        <v>69.131291588128079</v>
      </c>
      <c r="C60">
        <f t="shared" si="0"/>
        <v>-1.7576625058638689</v>
      </c>
      <c r="D60" s="1">
        <f t="shared" si="1"/>
        <v>-3.2392638111618481</v>
      </c>
      <c r="E60">
        <f t="shared" si="2"/>
        <v>5.6935325474808804</v>
      </c>
      <c r="F60">
        <f t="shared" si="3"/>
        <v>3.0893774845196549</v>
      </c>
      <c r="G60" s="1">
        <f t="shared" si="4"/>
        <v>10.492830038302781</v>
      </c>
    </row>
    <row r="61" spans="1:7" x14ac:dyDescent="0.25">
      <c r="A61">
        <v>7.8925803740567062</v>
      </c>
      <c r="B61" s="1">
        <v>79.570785550749861</v>
      </c>
      <c r="C61">
        <f t="shared" si="0"/>
        <v>0.99246075214684826</v>
      </c>
      <c r="D61" s="1">
        <f t="shared" si="1"/>
        <v>7.2002301514599338</v>
      </c>
      <c r="E61">
        <f t="shared" si="2"/>
        <v>7.1459458317483415</v>
      </c>
      <c r="F61">
        <f t="shared" si="3"/>
        <v>0.98497834455188782</v>
      </c>
      <c r="G61" s="1">
        <f t="shared" si="4"/>
        <v>51.843314233992743</v>
      </c>
    </row>
    <row r="62" spans="1:7" x14ac:dyDescent="0.25">
      <c r="A62">
        <v>5.4732949087629095</v>
      </c>
      <c r="B62" s="1">
        <v>80.887115422519855</v>
      </c>
      <c r="C62">
        <f t="shared" si="0"/>
        <v>-1.4268247131469485</v>
      </c>
      <c r="D62" s="1">
        <f t="shared" si="1"/>
        <v>8.5165600232299283</v>
      </c>
      <c r="E62">
        <f t="shared" si="2"/>
        <v>-12.151638312143811</v>
      </c>
      <c r="F62">
        <f t="shared" si="3"/>
        <v>2.0358287620468718</v>
      </c>
      <c r="G62" s="1">
        <f t="shared" si="4"/>
        <v>72.531794629278153</v>
      </c>
    </row>
    <row r="63" spans="1:7" x14ac:dyDescent="0.25">
      <c r="A63">
        <v>6.7420059116848279</v>
      </c>
      <c r="B63" s="1">
        <v>68.738676367793232</v>
      </c>
      <c r="C63">
        <f t="shared" si="0"/>
        <v>-0.15811371022503007</v>
      </c>
      <c r="D63" s="1">
        <f t="shared" si="1"/>
        <v>-3.6318790314966947</v>
      </c>
      <c r="E63">
        <f t="shared" si="2"/>
        <v>0.5742498687584312</v>
      </c>
      <c r="F63">
        <f t="shared" si="3"/>
        <v>2.4999945361124778E-2</v>
      </c>
      <c r="G63" s="1">
        <f t="shared" si="4"/>
        <v>13.190545299425368</v>
      </c>
    </row>
    <row r="64" spans="1:7" x14ac:dyDescent="0.25">
      <c r="A64">
        <v>5.064922692719847</v>
      </c>
      <c r="B64" s="1">
        <v>81.659249139484018</v>
      </c>
      <c r="C64">
        <f t="shared" si="0"/>
        <v>-1.835196929190011</v>
      </c>
      <c r="D64" s="1">
        <f t="shared" si="1"/>
        <v>9.2886937401940912</v>
      </c>
      <c r="E64">
        <f t="shared" si="2"/>
        <v>-17.046582228190672</v>
      </c>
      <c r="F64">
        <f t="shared" si="3"/>
        <v>3.3679477689084463</v>
      </c>
      <c r="G64" s="1">
        <f t="shared" si="4"/>
        <v>86.279831399120894</v>
      </c>
    </row>
    <row r="65" spans="1:7" x14ac:dyDescent="0.25">
      <c r="A65">
        <v>5.7000228429678828</v>
      </c>
      <c r="B65" s="1">
        <v>81.900010576937348</v>
      </c>
      <c r="C65">
        <f t="shared" si="0"/>
        <v>-1.2000967789419752</v>
      </c>
      <c r="D65" s="1">
        <f t="shared" si="1"/>
        <v>9.5294551776474208</v>
      </c>
      <c r="E65">
        <f t="shared" si="2"/>
        <v>-11.436268463766599</v>
      </c>
      <c r="F65">
        <f t="shared" si="3"/>
        <v>1.4402322788269042</v>
      </c>
      <c r="G65" s="1">
        <f t="shared" si="4"/>
        <v>90.81051598279123</v>
      </c>
    </row>
    <row r="66" spans="1:7" x14ac:dyDescent="0.25">
      <c r="A66">
        <v>8.7652746464591473</v>
      </c>
      <c r="B66" s="1">
        <v>82.38087861565873</v>
      </c>
      <c r="C66">
        <f t="shared" si="0"/>
        <v>1.8651550245492894</v>
      </c>
      <c r="D66" s="1">
        <f t="shared" si="1"/>
        <v>10.010323216368803</v>
      </c>
      <c r="E66">
        <f t="shared" si="2"/>
        <v>18.670804644372677</v>
      </c>
      <c r="F66">
        <f t="shared" si="3"/>
        <v>3.4788032656014605</v>
      </c>
      <c r="G66" s="1">
        <f t="shared" si="4"/>
        <v>100.20657089617227</v>
      </c>
    </row>
    <row r="67" spans="1:7" x14ac:dyDescent="0.25">
      <c r="A67">
        <v>7.9122368282987736</v>
      </c>
      <c r="B67" s="1">
        <v>92.755230020266026</v>
      </c>
      <c r="C67">
        <f t="shared" si="0"/>
        <v>1.0121172063889157</v>
      </c>
      <c r="D67" s="1">
        <f t="shared" si="1"/>
        <v>20.384674620976099</v>
      </c>
      <c r="E67">
        <f t="shared" si="2"/>
        <v>20.631679930529359</v>
      </c>
      <c r="F67">
        <f t="shared" si="3"/>
        <v>1.024381239468503</v>
      </c>
      <c r="G67" s="1">
        <f t="shared" si="4"/>
        <v>415.53495940306709</v>
      </c>
    </row>
    <row r="68" spans="1:7" x14ac:dyDescent="0.25">
      <c r="A68">
        <v>6.6422650383465225</v>
      </c>
      <c r="B68" s="1">
        <v>94.535183911211789</v>
      </c>
      <c r="C68">
        <f t="shared" si="0"/>
        <v>-0.25785458356333546</v>
      </c>
      <c r="D68" s="1">
        <f t="shared" si="1"/>
        <v>22.164628511921862</v>
      </c>
      <c r="E68">
        <f t="shared" si="2"/>
        <v>-5.7152510547776432</v>
      </c>
      <c r="F68">
        <f t="shared" si="3"/>
        <v>6.6488986264621144E-2</v>
      </c>
      <c r="G68" s="1">
        <f t="shared" si="4"/>
        <v>491.27075707149953</v>
      </c>
    </row>
    <row r="69" spans="1:7" x14ac:dyDescent="0.25">
      <c r="A69">
        <v>6.9684393969801022</v>
      </c>
      <c r="B69" s="1">
        <v>82.261125448276289</v>
      </c>
      <c r="C69">
        <f t="shared" si="0"/>
        <v>6.8319775070244226E-2</v>
      </c>
      <c r="D69" s="1">
        <f t="shared" si="1"/>
        <v>9.8905700489863619</v>
      </c>
      <c r="E69">
        <f t="shared" si="2"/>
        <v>0.67572152106324268</v>
      </c>
      <c r="F69">
        <f t="shared" si="3"/>
        <v>4.6675916656487649E-3</v>
      </c>
      <c r="G69" s="1">
        <f t="shared" si="4"/>
        <v>97.823375893906089</v>
      </c>
    </row>
    <row r="70" spans="1:7" x14ac:dyDescent="0.25">
      <c r="A70">
        <v>5.5153590387199074</v>
      </c>
      <c r="B70" s="1">
        <v>44.40922015812248</v>
      </c>
      <c r="C70">
        <f t="shared" si="0"/>
        <v>-1.3847605831899505</v>
      </c>
      <c r="D70" s="1">
        <f t="shared" si="1"/>
        <v>-27.961335241167447</v>
      </c>
      <c r="E70">
        <f t="shared" si="2"/>
        <v>38.719754895328748</v>
      </c>
      <c r="F70">
        <f t="shared" si="3"/>
        <v>1.917561872756572</v>
      </c>
      <c r="G70" s="1">
        <f t="shared" si="4"/>
        <v>781.83626846895265</v>
      </c>
    </row>
    <row r="71" spans="1:7" x14ac:dyDescent="0.25">
      <c r="A71">
        <v>6.4550273640925298</v>
      </c>
      <c r="B71" s="1">
        <v>65.290554579696618</v>
      </c>
      <c r="C71">
        <f t="shared" si="0"/>
        <v>-0.4450922578173282</v>
      </c>
      <c r="D71" s="1">
        <f t="shared" si="1"/>
        <v>-7.0800008195933088</v>
      </c>
      <c r="E71">
        <f t="shared" si="2"/>
        <v>3.1512535501413201</v>
      </c>
      <c r="F71">
        <f t="shared" si="3"/>
        <v>0.19810711796892697</v>
      </c>
      <c r="G71" s="1">
        <f t="shared" si="4"/>
        <v>50.126411605441923</v>
      </c>
    </row>
    <row r="72" spans="1:7" x14ac:dyDescent="0.25">
      <c r="A72">
        <v>7.3721254415722797</v>
      </c>
      <c r="B72" s="1">
        <v>83.585668057203293</v>
      </c>
      <c r="C72">
        <f t="shared" si="0"/>
        <v>0.47200581966242172</v>
      </c>
      <c r="D72" s="1">
        <f t="shared" si="1"/>
        <v>11.215112657913366</v>
      </c>
      <c r="E72">
        <f t="shared" si="2"/>
        <v>5.2935984427047993</v>
      </c>
      <c r="F72">
        <f t="shared" si="3"/>
        <v>0.22278949379519458</v>
      </c>
      <c r="G72" s="1">
        <f t="shared" si="4"/>
        <v>125.77875192968861</v>
      </c>
    </row>
    <row r="73" spans="1:7" x14ac:dyDescent="0.25">
      <c r="E73" s="2" t="s">
        <v>11</v>
      </c>
      <c r="F73" s="2" t="s">
        <v>12</v>
      </c>
      <c r="G73" s="2" t="s">
        <v>13</v>
      </c>
    </row>
    <row r="74" spans="1:7" x14ac:dyDescent="0.25">
      <c r="D74" t="s">
        <v>14</v>
      </c>
      <c r="E74" s="4">
        <f>SUM(E42:E72)</f>
        <v>118.21801939149086</v>
      </c>
      <c r="F74" s="4">
        <f t="shared" ref="F74:G74" si="5">SUM(F42:F72)</f>
        <v>35.703241249988551</v>
      </c>
      <c r="G74" s="4">
        <f t="shared" si="5"/>
        <v>5400.9632033545295</v>
      </c>
    </row>
    <row r="75" spans="1:7" x14ac:dyDescent="0.25">
      <c r="D75" t="s">
        <v>15</v>
      </c>
      <c r="E75">
        <f>SQRT(E74)</f>
        <v>10.87281101608461</v>
      </c>
      <c r="F75">
        <f t="shared" ref="F75:G75" si="6">SQRT(F74)</f>
        <v>5.9752189290425628</v>
      </c>
      <c r="G75">
        <f t="shared" si="6"/>
        <v>73.491245759985105</v>
      </c>
    </row>
    <row r="78" spans="1:7" x14ac:dyDescent="0.25">
      <c r="A78" t="s">
        <v>16</v>
      </c>
      <c r="B78">
        <f>(E74-(G74*F74)/31)/(((SUM(A42:A72)^2-SUM(A42:A72)^2/31)*(SUM(B42:B72)^2-SUM(B42:B72)^2/31))^1/2)</f>
        <v>-5.6586266047206715E-8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Возисов</dc:creator>
  <cp:lastModifiedBy>Иван Возисов</cp:lastModifiedBy>
  <dcterms:created xsi:type="dcterms:W3CDTF">2025-03-20T19:17:08Z</dcterms:created>
  <dcterms:modified xsi:type="dcterms:W3CDTF">2025-03-20T19:48:41Z</dcterms:modified>
</cp:coreProperties>
</file>